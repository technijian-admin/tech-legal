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1"/>
  </bookViews>
  <sheets>
    <sheet sheetId="1" name="Summary" state="visible" r:id="rId4"/>
    <sheet sheetId="2" name="Bank email" state="visible" r:id="rId5"/>
    <sheet sheetId="3" name="A. Bhardwaj" state="visible" r:id="rId6"/>
    <sheet sheetId="4" name="G. Kumar" state="visible" r:id="rId7"/>
    <sheet sheetId="5" name="S. Mehta" state="visible" r:id="rId8"/>
    <sheet sheetId="6" name="R. Uniyal" state="visible" r:id="rId9"/>
    <sheet sheetId="7" name="D. Sharma" state="visible" r:id="rId10"/>
    <sheet sheetId="8" name="Y. Kumar" state="visible" r:id="rId11"/>
    <sheet sheetId="9" name="S. Kumar" state="visible" r:id="rId12"/>
    <sheet sheetId="10" name="S. Sharma" state="visible" r:id="rId13"/>
    <sheet sheetId="11" name="N. Kaur" state="visible" r:id="rId14"/>
    <sheet sheetId="12" name="S. Kumar 2" state="visible" r:id="rId15"/>
    <sheet sheetId="13" name="P. Biswal" state="visible" r:id="rId16"/>
    <sheet sheetId="14" name="P. Kumar" state="visible" r:id="rId17"/>
    <sheet sheetId="15" name="S. Kumari" state="visible" r:id="rId18"/>
    <sheet sheetId="16" name="K. Jagota" state="visible" r:id="rId19"/>
    <sheet sheetId="17" name="G. Chamoli" state="visible" r:id="rId20"/>
    <sheet sheetId="18" name="S. Sharma 2" state="visible" r:id="rId21"/>
    <sheet sheetId="19" name="V. Rathor" state="visible" r:id="rId22"/>
    <sheet sheetId="20" name="M. Pandey" state="visible" r:id="rId23"/>
    <sheet sheetId="21" name="S. Singh" state="visible" r:id="rId24"/>
    <sheet sheetId="22" name="D. Bhardwaj" state="visible" r:id="rId25"/>
    <sheet sheetId="23" name="A. Saraf" state="visible" r:id="rId26"/>
    <sheet sheetId="24" name="R. Kumar" state="visible" r:id="rId27"/>
    <sheet sheetId="25" name="D. Bhattacharya" state="visible" r:id="rId28"/>
  </sheets>
  <definedNames>
    <definedName name="_xlnm.Print_Area" localSheetId="2" hidden="false">'A. Bhardwaj'!$A$1:$G$44</definedName>
    <definedName name="_xlnm.Print_Area" localSheetId="3" hidden="false">'G. Kumar'!$A$1:$G$44</definedName>
    <definedName name="_xlnm.Print_Area" localSheetId="4" hidden="false">'S. Mehta'!$A$1:$G$44</definedName>
    <definedName name="_xlnm.Print_Area" localSheetId="5" hidden="false">'R. Uniyal'!$A$1:$G$44</definedName>
    <definedName name="_xlnm.Print_Area" localSheetId="6" hidden="false">'D. Sharma'!$A$1:$G$44</definedName>
    <definedName name="_xlnm.Print_Area" localSheetId="7" hidden="false">'Y. Kumar'!$A$1:$G$44</definedName>
    <definedName name="_xlnm.Print_Area" localSheetId="8" hidden="false">'S. Kumar'!$A$1:$G$44</definedName>
    <definedName name="_xlnm.Print_Area" localSheetId="9" hidden="false">'S. Sharma'!$A$1:$G$44</definedName>
    <definedName name="_xlnm.Print_Area" localSheetId="10" hidden="false">'N. Kaur'!$A$1:$G$44</definedName>
    <definedName name="_xlnm.Print_Area" localSheetId="11" hidden="false">'S. Kumar 2'!$A$1:$G$44</definedName>
    <definedName name="_xlnm.Print_Area" localSheetId="12" hidden="false">'P. Biswal'!$A$1:$G$44</definedName>
    <definedName name="_xlnm.Print_Area" localSheetId="13" hidden="false">'P. Kumar'!$A$1:$G$44</definedName>
    <definedName name="_xlnm.Print_Area" localSheetId="14" hidden="false">'S. Kumari'!$A$1:$G$44</definedName>
    <definedName name="_xlnm.Print_Area" localSheetId="15" hidden="false">'K. Jagota'!$A$1:$G$44</definedName>
    <definedName name="_xlnm.Print_Area" localSheetId="16" hidden="false">'G. Chamoli'!$A$1:$G$44</definedName>
    <definedName name="_xlnm.Print_Area" localSheetId="17" hidden="false">'S. Sharma 2'!$A$1:$G$44</definedName>
    <definedName name="_xlnm.Print_Area" localSheetId="18" hidden="false">'V. Rathor'!$A$1:$G$44</definedName>
    <definedName name="_xlnm.Print_Area" localSheetId="19" hidden="false">'M. Pandey'!$A$1:$G$44</definedName>
    <definedName name="_xlnm.Print_Area" localSheetId="20" hidden="false">'S. Singh'!$A$1:$G$44</definedName>
    <definedName name="_xlnm.Print_Area" localSheetId="21" hidden="false">'D. Bhardwaj'!$A$1:$G$44</definedName>
    <definedName name="_xlnm.Print_Area" localSheetId="22" hidden="false">'A. Saraf'!$A$1:$G$44</definedName>
    <definedName name="_xlnm.Print_Area" localSheetId="23" hidden="false">'R. Kumar'!$A$1:$G$44</definedName>
    <definedName name="_xlnm.Print_Area" localSheetId="24" hidden="false">'D. Bhattacharya'!$A$1:$G$44</definedName>
  </definedNames>
</workbook>
</file>

<file path=xl/sharedStrings.xml><?xml version="1.0" encoding="utf-8"?>
<sst xmlns="http://schemas.openxmlformats.org/spreadsheetml/2006/main" count="217">
  <si>
    <t>Employee</t>
  </si>
  <si>
    <t>Aditya Saraf</t>
  </si>
  <si>
    <t>Ajay Bhardwaj</t>
  </si>
  <si>
    <t>Daya Krishan Sharma</t>
  </si>
  <si>
    <t>Deepak Bhardwaj</t>
  </si>
  <si>
    <t>Devesh Bhattacharya</t>
  </si>
  <si>
    <t>Gautam Chamoli</t>
  </si>
  <si>
    <t>Gurdeep Kumar</t>
  </si>
  <si>
    <t>Jagwati</t>
  </si>
  <si>
    <t>Karan Jagota</t>
  </si>
  <si>
    <t>Mohit Pandey</t>
  </si>
  <si>
    <t>Navjit Kaur</t>
  </si>
  <si>
    <t>Parveen Biswal</t>
  </si>
  <si>
    <t>Puneet Kumar</t>
  </si>
  <si>
    <t>Rahul Uniyal</t>
  </si>
  <si>
    <t>Rajat Kumar</t>
  </si>
  <si>
    <t>Sanjeev Kumar</t>
  </si>
  <si>
    <t>Saroj Kumari</t>
  </si>
  <si>
    <t>Satish Sharma</t>
  </si>
  <si>
    <t>Shelja Mehta</t>
  </si>
  <si>
    <t>Simranjit Singh</t>
  </si>
  <si>
    <t>Suresh Kumar Sharma</t>
  </si>
  <si>
    <t>Surinder Kumar</t>
  </si>
  <si>
    <t>Vaishali Rathor</t>
  </si>
  <si>
    <t>VINTEGRATE TECHNOLOGY PVT Ltd.</t>
  </si>
  <si>
    <t>Yogesh Kumar</t>
  </si>
  <si>
    <t>Date Hired</t>
  </si>
  <si>
    <t>PP</t>
  </si>
  <si>
    <t>Offered</t>
  </si>
  <si>
    <t>HRS WRK (+Lunch)</t>
  </si>
  <si>
    <t>Holiday Pay (hrs)</t>
  </si>
  <si>
    <t>Paid Leave (hrs)</t>
  </si>
  <si>
    <t>Afternoon Shifts</t>
  </si>
  <si>
    <t>Night Shfits</t>
  </si>
  <si>
    <t>Unpaid Leave (hrs)</t>
  </si>
  <si>
    <t>Calculated Clock</t>
  </si>
  <si>
    <t>Hrly Rate</t>
  </si>
  <si>
    <t>Shift Pay</t>
  </si>
  <si>
    <t>Per Diem for Shifts</t>
  </si>
  <si>
    <t>ADJ</t>
  </si>
  <si>
    <t>Reimbursements</t>
  </si>
  <si>
    <t>Deductions</t>
  </si>
  <si>
    <t>Salary</t>
  </si>
  <si>
    <t>Salary Test</t>
  </si>
  <si>
    <t>Balance Carried</t>
  </si>
  <si>
    <t>Used</t>
  </si>
  <si>
    <t>Accrued</t>
  </si>
  <si>
    <t>New Balance</t>
  </si>
  <si>
    <t>Paid Leave Balance INR</t>
  </si>
  <si>
    <t xml:space="preserve">     Technijian IT Services Pvt Ltd. Employee Details (April 2026)</t>
  </si>
  <si>
    <t>Name</t>
  </si>
  <si>
    <t>ADITYA SARAF</t>
  </si>
  <si>
    <t>AJAY BHARDWAJ</t>
  </si>
  <si>
    <t>DAYA KRISHAN SHARMA</t>
  </si>
  <si>
    <t>DEEPAK BHARDWAJ</t>
  </si>
  <si>
    <t>GURDEEP KUMAR</t>
  </si>
  <si>
    <t>KARAN JAGOTA</t>
  </si>
  <si>
    <t>MOHIT PANDEY</t>
  </si>
  <si>
    <t>NAVJIT KAUR</t>
  </si>
  <si>
    <t>PARVEEN BISWAL</t>
  </si>
  <si>
    <t>PUNEET KUMAR</t>
  </si>
  <si>
    <t>RAHUL UNIYAL</t>
  </si>
  <si>
    <t>RAJAT KUMAR</t>
  </si>
  <si>
    <t>SANJEEV KUMAR</t>
  </si>
  <si>
    <t>SAROJ KUMARI</t>
  </si>
  <si>
    <t>SATISH SHARMA</t>
  </si>
  <si>
    <t>SHELJA MEHTA</t>
  </si>
  <si>
    <t>SIMRANJIT SINGH</t>
  </si>
  <si>
    <t>SURESH KUMAR SHARMA</t>
  </si>
  <si>
    <t>SURINDER KUMAR</t>
  </si>
  <si>
    <t>VAISHALI RATHOR</t>
  </si>
  <si>
    <t>YOGESH KUMAR</t>
  </si>
  <si>
    <t>Technijian IT Services</t>
  </si>
  <si>
    <t>Ravi Jain, Director</t>
  </si>
  <si>
    <t>A/C No.</t>
  </si>
  <si>
    <t>6112051671</t>
  </si>
  <si>
    <t>635301518206</t>
  </si>
  <si>
    <t>00010847818214</t>
  </si>
  <si>
    <t>50100171853152</t>
  </si>
  <si>
    <t>342101512034</t>
  </si>
  <si>
    <t>32849692385</t>
  </si>
  <si>
    <t>921010025870104</t>
  </si>
  <si>
    <t>763401501683</t>
  </si>
  <si>
    <t>913010023521184</t>
  </si>
  <si>
    <t>50100490819169</t>
  </si>
  <si>
    <t>30900100004186</t>
  </si>
  <si>
    <t>12840100021267</t>
  </si>
  <si>
    <t>03461050016829</t>
  </si>
  <si>
    <t>50100565932501</t>
  </si>
  <si>
    <t>635301517508</t>
  </si>
  <si>
    <t>916010026066919</t>
  </si>
  <si>
    <t>0720001500027361</t>
  </si>
  <si>
    <t>018401536139</t>
  </si>
  <si>
    <t>50100117585337</t>
  </si>
  <si>
    <t>01671000101568</t>
  </si>
  <si>
    <t>242901503112</t>
  </si>
  <si>
    <t>IFSC Code</t>
  </si>
  <si>
    <t>KKBK0001946</t>
  </si>
  <si>
    <t>ICIC0006353</t>
  </si>
  <si>
    <t>SBIN0000628</t>
  </si>
  <si>
    <t>HDFC0001307</t>
  </si>
  <si>
    <t>ICIC0002828</t>
  </si>
  <si>
    <t>SBIN0031020</t>
  </si>
  <si>
    <t>UTIB0004814</t>
  </si>
  <si>
    <t>ICIC0007634</t>
  </si>
  <si>
    <t>UTIB0000480</t>
  </si>
  <si>
    <t>HDFC0000131</t>
  </si>
  <si>
    <t>BARB0SRINGR</t>
  </si>
  <si>
    <t>BARB0YAMUNA</t>
  </si>
  <si>
    <t>HDFC0002371</t>
  </si>
  <si>
    <t>HDFC0003962</t>
  </si>
  <si>
    <t>UTIB0000067</t>
  </si>
  <si>
    <t>PUNB0072000</t>
  </si>
  <si>
    <t>ICIC0000184</t>
  </si>
  <si>
    <t>HDFC0000162</t>
  </si>
  <si>
    <t>PSIB0000242</t>
  </si>
  <si>
    <t>ICIC0002429</t>
  </si>
  <si>
    <t>Total salary</t>
  </si>
  <si>
    <t>Amount</t>
  </si>
  <si>
    <t>Name of Bank</t>
  </si>
  <si>
    <t>KOTAK BANK</t>
  </si>
  <si>
    <t>ICICI BANK</t>
  </si>
  <si>
    <t>SBI BANK</t>
  </si>
  <si>
    <t>HDFC BANK</t>
  </si>
  <si>
    <t>STATE BANK OF INDIA</t>
  </si>
  <si>
    <t>AXIS BANK</t>
  </si>
  <si>
    <t>HDFC</t>
  </si>
  <si>
    <t>BANK OF BARODA</t>
  </si>
  <si>
    <t>PUNJAB NATIONAL BANK</t>
  </si>
  <si>
    <t>PUNJAN &amp; SIND BANK</t>
  </si>
  <si>
    <t>Name:</t>
  </si>
  <si>
    <t>Emp. Code:</t>
  </si>
  <si>
    <t>Bank Account No. :</t>
  </si>
  <si>
    <t>Salary Slip for the Month :</t>
  </si>
  <si>
    <t>Basic :</t>
  </si>
  <si>
    <t>HRA :</t>
  </si>
  <si>
    <t>C.C.A :</t>
  </si>
  <si>
    <t>Med. Allowance :</t>
  </si>
  <si>
    <t>LTA :</t>
  </si>
  <si>
    <t>Petrol Allowance :</t>
  </si>
  <si>
    <t>Driver Allowance :</t>
  </si>
  <si>
    <t>Helper Allowance :</t>
  </si>
  <si>
    <t>Conveyance Allowance :</t>
  </si>
  <si>
    <t>Entertainment :</t>
  </si>
  <si>
    <t>Telephone Reimbursement :</t>
  </si>
  <si>
    <t>Arrears :</t>
  </si>
  <si>
    <t>Special All :</t>
  </si>
  <si>
    <t>Summary of Leave</t>
  </si>
  <si>
    <t>Paid</t>
  </si>
  <si>
    <t>Balance Forward :</t>
  </si>
  <si>
    <t>Accrued this Month :</t>
  </si>
  <si>
    <t>Used this Month :</t>
  </si>
  <si>
    <t>Balance :</t>
  </si>
  <si>
    <t>Authorised Signatory</t>
  </si>
  <si>
    <t>(For Technijian IT Services (P) Ltd.)</t>
  </si>
  <si>
    <t>Technijian IT Services Pvt Ltd.
Plot No. 07. 1st Floor, Panchkula IT Park
Panchkula Haryana 134109</t>
  </si>
  <si>
    <t>Gross Salary :</t>
  </si>
  <si>
    <t>Holiday</t>
  </si>
  <si>
    <t>Casual Leave &amp; Medical Leave</t>
  </si>
  <si>
    <t>Paid CL :</t>
  </si>
  <si>
    <t>CL Accured :</t>
  </si>
  <si>
    <t>CL Bank :</t>
  </si>
  <si>
    <t>Designation :</t>
  </si>
  <si>
    <t>P.F. No. :</t>
  </si>
  <si>
    <t>PAN No. :</t>
  </si>
  <si>
    <t>Days Payable :</t>
  </si>
  <si>
    <t>Salary Offer :</t>
  </si>
  <si>
    <t>Hours Worked :</t>
  </si>
  <si>
    <t>P.F. Deduction :</t>
  </si>
  <si>
    <t>Voluntary P.F. :</t>
  </si>
  <si>
    <t>TDS :</t>
  </si>
  <si>
    <t>Other Deduction :</t>
  </si>
  <si>
    <t>Loan Deduction :</t>
  </si>
  <si>
    <t xml:space="preserve">Total Deductions : </t>
  </si>
  <si>
    <t>Reimbursement</t>
  </si>
  <si>
    <t>Loan Advance</t>
  </si>
  <si>
    <t>Net Pay :</t>
  </si>
  <si>
    <t>Paid ML :</t>
  </si>
  <si>
    <t>ML Accured :</t>
  </si>
  <si>
    <t>ML Bank :</t>
  </si>
  <si>
    <t>Tech Lead</t>
  </si>
  <si>
    <t>N/A</t>
  </si>
  <si>
    <t>TISPL027</t>
  </si>
  <si>
    <t>Client Support Engineer I</t>
  </si>
  <si>
    <t>EBQPK3110J</t>
  </si>
  <si>
    <t>Admin Assistant</t>
  </si>
  <si>
    <t>CFSPM9782G</t>
  </si>
  <si>
    <t>Client Support Engineer</t>
  </si>
  <si>
    <t>TISPL0007</t>
  </si>
  <si>
    <t>Accounting</t>
  </si>
  <si>
    <t>AKZPK8056D</t>
  </si>
  <si>
    <t>BGWPk7630P</t>
  </si>
  <si>
    <t>Client Support Engineer - Level 3</t>
  </si>
  <si>
    <t>BAWPK6364E</t>
  </si>
  <si>
    <t>Client Support Engineer – Level 1</t>
  </si>
  <si>
    <t>CQSPK0131L</t>
  </si>
  <si>
    <t>Client Support Engineer – Junior</t>
  </si>
  <si>
    <t>EUTPK3808R</t>
  </si>
  <si>
    <t>CRTPK7388D</t>
  </si>
  <si>
    <t>Client Support Engineer – Level 2</t>
  </si>
  <si>
    <t>AUGPB3999M</t>
  </si>
  <si>
    <t>Digital Marketing Assistant</t>
  </si>
  <si>
    <t>DYVPK3249F</t>
  </si>
  <si>
    <t>HCAPK9192J</t>
  </si>
  <si>
    <t>Client Application Engineer – Level 1</t>
  </si>
  <si>
    <t>ANUPJ7312F</t>
  </si>
  <si>
    <t>CVAPC8678P</t>
  </si>
  <si>
    <t>BLMPS1108K</t>
  </si>
  <si>
    <t>Digital Marketing Assistant – Level 1</t>
  </si>
  <si>
    <t>CRCPR6394D</t>
  </si>
  <si>
    <t>FKHPP6213E</t>
  </si>
  <si>
    <t>Client Application Engineer – Level 2</t>
  </si>
  <si>
    <t>FPTPS1848H</t>
  </si>
  <si>
    <t>BKIPB3514K</t>
  </si>
  <si>
    <t>BSTPS2835K</t>
  </si>
  <si>
    <t>GPBPK5454Q</t>
  </si>
  <si>
    <t>EJMPB9222E</t>
  </si>
</sst>
</file>

<file path=xl/styles.xml><?xml version="1.0" encoding="utf-8"?>
<styleSheet xmlns="http://schemas.openxmlformats.org/spreadsheetml/2006/main">
  <numFmts count="8">
    <numFmt formatCode="_(* #,##0.00_);_(* \(#,##0.00\);_(* &quot;-&quot;??_);_(@_)" numFmtId="196"/>
    <numFmt formatCode="_(&quot;$&quot;* #,##0.00_);_(&quot;$&quot;* \(#,##0.00\);_(&quot;$&quot;* &quot;-&quot;??_);_(@_)" numFmtId="197"/>
    <numFmt formatCode="[$-409]mmmm\-yy;@" numFmtId="198"/>
    <numFmt formatCode="m/d/yy;@" numFmtId="199"/>
    <numFmt formatCode="M/d/yyyy" numFmtId="200"/>
    <numFmt formatCode="_(* #,##0_);_(* \(#,##0\);_(* &quot;-&quot;??_);_(@_)" numFmtId="201"/>
    <numFmt formatCode="mmmm\,\ yyyy" numFmtId="202"/>
    <numFmt formatCode="00000000000000" numFmtId="203"/>
  </numFmts>
  <fonts count="14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0"/>
      <color theme="1"/>
      <name val="Arial"/>
    </font>
    <font>
      <b val="true"/>
      <i val="false"/>
      <u val="none"/>
      <sz val="11"/>
      <color theme="1"/>
      <name val="Calibri"/>
      <scheme val="minor"/>
    </font>
    <font>
      <b val="true"/>
      <i val="false"/>
      <u val="single"/>
      <sz val="16"/>
      <color rgb="FF000000"/>
      <name val="Calibri"/>
      <scheme val="minor"/>
    </font>
    <font>
      <b val="false"/>
      <i val="false"/>
      <u val="none"/>
      <sz val="11"/>
      <color rgb="FF000000"/>
      <name val="Calibri"/>
      <scheme val="minor"/>
    </font>
    <font>
      <b val="false"/>
      <i val="false"/>
      <u val="none"/>
      <sz val="12"/>
      <color rgb="FF000000"/>
      <name val="Calibri"/>
      <scheme val="minor"/>
    </font>
    <font>
      <b val="true"/>
      <i val="false"/>
      <u val="none"/>
      <sz val="11"/>
      <color rgb="FF000000"/>
      <name val="Calibri"/>
      <scheme val="minor"/>
    </font>
    <font>
      <b val="false"/>
      <i val="false"/>
      <u val="none"/>
      <sz val="13"/>
      <color rgb="FF000000"/>
      <name val="Calibri"/>
      <scheme val="minor"/>
    </font>
    <font>
      <b val="false"/>
      <i val="false"/>
      <u val="none"/>
      <sz val="10.5"/>
      <color rgb="FF000000"/>
      <name val="Segoe UI"/>
    </font>
    <font>
      <b val="true"/>
      <i val="false"/>
      <u val="none"/>
      <sz val="10"/>
      <color theme="1"/>
      <name val="Arial"/>
    </font>
    <font>
      <b val="false"/>
      <i val="false"/>
      <u val="none"/>
      <sz val="10"/>
      <color theme="1"/>
      <name val="Calibri"/>
      <scheme val="minor"/>
    </font>
    <font>
      <b val="true"/>
      <i val="false"/>
      <u val="none"/>
      <sz val="16"/>
      <color theme="1"/>
      <name val="Calibri"/>
      <scheme val="minor"/>
    </font>
    <font>
      <b val="true"/>
      <i val="false"/>
      <u val="none"/>
      <sz val="12"/>
      <color theme="1"/>
      <name val="Calibri"/>
      <scheme val="minor"/>
    </font>
    <font>
      <b val="false"/>
      <i val="false"/>
      <u val="none"/>
      <sz val="12"/>
      <color theme="1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8"/>
        <bgColor rgb="FFFFFFFF"/>
      </patternFill>
    </fill>
    <fill>
      <patternFill patternType="solid">
        <fgColor rgb="00FFFFFF"/>
        <bgColor rgb="FF000000"/>
      </patternFill>
    </fill>
    <fill>
      <patternFill patternType="solid">
        <fgColor theme="7" tint="0.6"/>
        <bgColor rgb="FF000000"/>
      </patternFill>
    </fill>
    <fill>
      <patternFill patternType="solid">
        <fgColor theme="0" tint="-0.15"/>
        <bgColor rgb="FF000000"/>
      </patternFill>
    </fill>
    <fill>
      <patternFill patternType="solid">
        <fgColor theme="4" tint="0.8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</fills>
  <borders count="25">
    <border>
      <left style="none"/>
      <right style="none"/>
      <top style="none"/>
      <bottom style="none"/>
    </border>
    <border>
      <left style="none"/>
      <right style="none"/>
      <top style="none"/>
      <bottom style="thin">
        <color rgb="FF000000"/>
      </bottom>
    </border>
    <border>
      <left style="none"/>
      <right style="none"/>
      <top style="thin">
        <color rgb="FF000000"/>
      </top>
      <bottom style="none"/>
    </border>
    <border>
      <left style="medium">
        <color rgb="FF000000"/>
      </left>
      <right style="medium">
        <color rgb="FF000000"/>
      </right>
      <top style="medium">
        <color rgb="FF000000"/>
      </top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none"/>
      <right style="medium">
        <color rgb="FF000000"/>
      </right>
      <top style="medium">
        <color rgb="FF000000"/>
      </top>
      <bottom style="none"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none"/>
      <top style="medium">
        <color rgb="FF000000"/>
      </top>
      <bottom style="none"/>
    </border>
    <border>
      <left style="medium">
        <color rgb="FF000000"/>
      </left>
      <right style="none"/>
      <top style="none"/>
      <bottom style="none"/>
    </border>
    <border>
      <left style="medium">
        <color rgb="FF000000"/>
      </left>
      <right style="none"/>
      <top style="none"/>
      <bottom style="medium">
        <color rgb="FF000000"/>
      </bottom>
    </border>
    <border>
      <left style="none"/>
      <right style="none"/>
      <top style="medium">
        <color rgb="FF000000"/>
      </top>
      <bottom style="none"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none"/>
      <right style="none"/>
      <top style="thin">
        <color rgb="FF000000"/>
      </top>
      <bottom style="thin">
        <color rgb="FF000000"/>
      </bottom>
    </border>
    <border>
      <left style="none"/>
      <right style="none"/>
      <top style="none"/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none"/>
      <right style="medium">
        <color rgb="FF000000"/>
      </right>
      <top style="none"/>
      <bottom style="none"/>
    </border>
    <border>
      <left style="none"/>
      <right style="medium">
        <color rgb="FF000000"/>
      </right>
      <top style="none"/>
      <bottom style="thin">
        <color rgb="FF000000"/>
      </bottom>
    </border>
    <border>
      <left style="none"/>
      <right style="medium">
        <color rgb="FF000000"/>
      </right>
      <top style="thin">
        <color rgb="FF000000"/>
      </top>
      <bottom style="thin">
        <color rgb="FF000000"/>
      </bottom>
    </border>
    <border>
      <left style="none"/>
      <right style="medium">
        <color rgb="FF000000"/>
      </right>
      <top style="thin">
        <color rgb="FF000000"/>
      </top>
      <bottom style="none"/>
    </border>
    <border>
      <left style="none"/>
      <right style="medium">
        <color rgb="FF000000"/>
      </right>
      <top style="none"/>
      <bottom style="medium">
        <color rgb="FF000000"/>
      </bottom>
    </border>
  </borders>
  <cellStyleXfs count="5">
    <xf numFmtId="0" fontId="0" borderId="0" xfId="0" applyNumberFormat="true" applyFont="true" applyFill="true" applyBorder="true" applyAlignment="true" applyProtection="true"/>
    <xf numFmtId="196" fontId="0" borderId="0" xfId="0" applyNumberFormat="true" applyFont="false" applyFill="false" applyBorder="false" applyAlignment="false" applyProtection="false"/>
    <xf numFmtId="197" fontId="0" borderId="0" xfId="0" applyNumberFormat="true" applyFont="false" applyFill="false" applyBorder="false" applyAlignment="false" applyProtection="false"/>
    <xf numFmtId="0" fontId="1" borderId="0" xfId="0" applyNumberFormat="true" applyFont="true" applyFill="false" applyBorder="false" applyAlignment="false" applyProtection="false"/>
    <xf numFmtId="0" fontId="0" fillId="2" borderId="0" xfId="0" applyNumberFormat="false" applyFont="true" applyFill="true" applyBorder="false" applyAlignment="false" applyProtection="false"/>
  </cellStyleXfs>
  <cellXfs count="140">
    <xf numFmtId="0" fontId="0" borderId="0" xfId="0" applyNumberFormat="true" applyFont="true" applyFill="true" applyBorder="true" applyAlignment="true" applyProtection="true"/>
    <xf numFmtId="196" fontId="0" borderId="0" xfId="1" applyNumberFormat="true" applyFont="false" applyFill="false" applyBorder="false" applyAlignment="false" applyProtection="false"/>
    <xf numFmtId="197" fontId="0" borderId="0" xfId="2" applyNumberFormat="true" applyFont="false" applyFill="false" applyBorder="false" applyAlignment="false" applyProtection="false"/>
    <xf numFmtId="0" fontId="1" borderId="0" xfId="3" applyNumberFormat="true" applyFont="true" applyFill="false" applyBorder="false" applyAlignment="false" applyProtection="false"/>
    <xf numFmtId="0" fontId="0" fillId="2" borderId="0" xfId="4" applyNumberFormat="false" applyFont="true" applyFill="true" applyBorder="false" applyAlignment="false" applyProtection="false"/>
    <xf numFmtId="198" fontId="2" borderId="0" xfId="0" applyNumberFormat="true" applyFont="true">
      <alignment horizontal="center"/>
    </xf>
    <xf numFmtId="0" fontId="2" borderId="1" xfId="0" applyFont="true" applyBorder="true">
      <alignment horizontal="center"/>
    </xf>
    <xf numFmtId="0" fontId="0" borderId="2" xfId="0" applyBorder="true"/>
    <xf numFmtId="0" fontId="2" borderId="0" xfId="0" applyFont="true">
      <alignment horizontal="center"/>
    </xf>
    <xf numFmtId="199" fontId="0" borderId="0" xfId="0" applyNumberFormat="true"/>
    <xf numFmtId="199" fontId="0" borderId="0" xfId="0" applyNumberFormat="true">
      <alignment horizontal="right"/>
    </xf>
    <xf numFmtId="200" fontId="0" borderId="0" xfId="0" applyNumberFormat="true">
      <alignment horizontal="right"/>
    </xf>
    <xf numFmtId="0" fontId="0" borderId="0" xfId="0">
      <alignment horizontal="right"/>
    </xf>
    <xf numFmtId="0" fontId="2" fillId="4" borderId="1" xfId="0" applyFont="true" applyFill="true" applyBorder="true">
      <alignment horizontal="center"/>
    </xf>
    <xf numFmtId="0" fontId="0" fillId="4" borderId="0" xfId="0" applyFill="true">
      <alignment horizontal="center"/>
    </xf>
    <xf numFmtId="0" fontId="0" borderId="2" xfId="0" applyBorder="true">
      <alignment horizontal="center"/>
    </xf>
    <xf numFmtId="196" xfId="1" applyNumberFormat="true">
      <alignment horizontal="center"/>
    </xf>
    <xf numFmtId="196" fillId="4" xfId="1" applyFill="true">
      <alignment horizontal="center"/>
    </xf>
    <xf numFmtId="0" fontId="0" borderId="1" xfId="0" applyBorder="true">
      <alignment horizontal="center"/>
    </xf>
    <xf numFmtId="1" fontId="0" fillId="4" borderId="0" xfId="0" applyNumberFormat="true" applyFill="true">
      <alignment horizontal="center"/>
    </xf>
    <xf numFmtId="1" fontId="0" fillId="4" borderId="2" xfId="0" applyNumberFormat="true" applyFill="true" applyBorder="true">
      <alignment horizontal="center"/>
    </xf>
    <xf numFmtId="196" fontId="2" borderId="1" xfId="0" applyNumberFormat="true" applyFont="true" applyBorder="true">
      <alignment horizontal="center"/>
    </xf>
    <xf numFmtId="198" fontId="0" borderId="0" xfId="0" applyNumberFormat="true">
      <alignment horizontal="left"/>
    </xf>
    <xf numFmtId="198" fontId="2" borderId="0" xfId="0" applyNumberFormat="true" applyFont="true">
      <alignment horizontal="left"/>
    </xf>
    <xf numFmtId="0" fontId="2" borderId="0" xfId="0" applyFont="true">
      <alignment horizontal="left"/>
    </xf>
    <xf numFmtId="196" fillId="4" xfId="1" applyNumberFormat="true" applyFill="true">
      <alignment horizontal="center"/>
    </xf>
    <xf numFmtId="201" fillId="4" xfId="1" applyNumberFormat="true" applyFill="true">
      <alignment horizontal="center"/>
    </xf>
    <xf numFmtId="201" fontId="2" borderId="1" xfId="1" applyNumberFormat="true" applyFont="true" applyBorder="true">
      <alignment horizontal="center"/>
    </xf>
    <xf numFmtId="201" xfId="1" applyNumberFormat="true">
      <alignment horizontal="center"/>
    </xf>
    <xf numFmtId="201" fontId="2" xfId="1" applyNumberFormat="true" applyFont="true">
      <alignment horizontal="center"/>
    </xf>
    <xf numFmtId="201" fontId="2" borderId="0" xfId="0" applyNumberFormat="true" applyFont="true">
      <alignment horizontal="center"/>
    </xf>
    <xf numFmtId="0" fontId="2" fillId="5" borderId="1" xfId="0" applyFont="true" applyFill="true" applyBorder="true">
      <alignment horizontal="center"/>
    </xf>
    <xf numFmtId="196" fillId="5" xfId="1" applyNumberFormat="true" applyFill="true">
      <alignment horizontal="center"/>
    </xf>
    <xf numFmtId="196" fontId="0" fillId="5" borderId="2" xfId="0" applyNumberFormat="true" applyFill="true" applyBorder="true"/>
    <xf numFmtId="196" xfId="1">
      <alignment horizontal="center"/>
    </xf>
    <xf numFmtId="0" fontId="2" borderId="0" xfId="0" applyFont="true"/>
    <xf numFmtId="0" fontId="2" fillId="6" borderId="1" xfId="0" applyFont="true" applyFill="true" applyBorder="true">
      <alignment horizontal="center"/>
    </xf>
    <xf numFmtId="196" fillId="6" xfId="1" applyNumberFormat="true" applyFill="true"/>
    <xf numFmtId="0" fontId="0" fillId="6" borderId="2" xfId="0" applyFill="true" applyBorder="true"/>
    <xf numFmtId="2" fontId="0" borderId="0" xfId="0" applyNumberFormat="true"/>
    <xf numFmtId="196" fontId="0" fillId="6" borderId="2" xfId="0" applyNumberFormat="true" applyFill="true" applyBorder="true"/>
    <xf numFmtId="196" fontId="0" fillId="4" borderId="0" xfId="0" applyNumberFormat="true" applyFill="true"/>
    <xf numFmtId="196" fillId="4" xfId="1" applyNumberFormat="true" applyFill="true"/>
    <xf numFmtId="201" fillId="4" xfId="1" applyNumberFormat="true" applyFill="true"/>
    <xf numFmtId="196" fontId="0" fillId="4" borderId="2" xfId="0" applyNumberFormat="true" applyFill="true" applyBorder="true"/>
    <xf numFmtId="0" fontId="0" fillId="4" borderId="0" xfId="0" applyFill="true"/>
    <xf numFmtId="0" fontId="0" fillId="4" borderId="2" xfId="0" applyFill="true" applyBorder="true"/>
    <xf numFmtId="0" fontId="0" borderId="0" xfId="0">
      <alignment horizontal="center"/>
    </xf>
    <xf numFmtId="196" fontId="0" fillId="6" borderId="0" xfId="0" applyNumberFormat="true" applyFill="true"/>
    <xf numFmtId="0" fontId="0" fillId="6" borderId="0" xfId="0" applyFill="true"/>
    <xf numFmtId="197" xfId="2" applyNumberFormat="true"/>
    <xf numFmtId="197" fontId="2" borderId="0" xfId="0" applyNumberFormat="true" applyFont="true"/>
    <xf numFmtId="196" fontId="2" xfId="1" applyNumberFormat="true" applyFont="true"/>
    <xf numFmtId="197" fontId="0" borderId="0" xfId="0" applyNumberFormat="true"/>
    <xf numFmtId="0" fontId="0" fillId="5" borderId="0" xfId="0" applyFill="true">
      <alignment horizontal="center"/>
    </xf>
    <xf numFmtId="0" fontId="0" fillId="5" borderId="2" xfId="0" applyFill="true" applyBorder="true">
      <alignment horizontal="center"/>
    </xf>
    <xf numFmtId="0" fontId="0" fillId="5" borderId="0" xfId="0" applyFill="true"/>
    <xf numFmtId="0" fontId="0" fillId="5" borderId="2" xfId="0" applyFill="true" applyBorder="true"/>
    <xf numFmtId="0" fontId="2" borderId="1" xfId="0" applyFont="true" applyBorder="true"/>
    <xf numFmtId="2" fontId="0" fillId="4" borderId="0" xfId="0" applyNumberFormat="true" applyFill="true"/>
    <xf numFmtId="2" fontId="0" fillId="4" borderId="2" xfId="0" applyNumberFormat="true" applyFill="true" applyBorder="true"/>
    <xf numFmtId="2" fontId="0" fillId="5" borderId="0" xfId="0" applyNumberFormat="true" applyFill="true"/>
    <xf numFmtId="2" fontId="0" fillId="5" borderId="2" xfId="0" applyNumberFormat="true" applyFill="true" applyBorder="true"/>
    <xf numFmtId="0" fontId="2" fillId="6" borderId="0" xfId="0" applyFont="true" applyFill="true">
      <alignment horizontal="center"/>
    </xf>
    <xf numFmtId="2" fontId="0" fillId="6" borderId="0" xfId="0" applyNumberFormat="true" applyFill="true"/>
    <xf numFmtId="2" fontId="0" fillId="6" borderId="2" xfId="0" applyNumberFormat="true" applyFill="true" applyBorder="true"/>
    <xf numFmtId="0" fontId="3" borderId="0" xfId="0" applyFont="true"/>
    <xf numFmtId="0" fontId="4" borderId="0" xfId="0" applyFont="true"/>
    <xf numFmtId="0" fontId="4" fillId="7" borderId="3" xfId="0" applyFont="true" applyFill="true" applyBorder="true">
      <alignment horizontal="left" vertical="top"/>
    </xf>
    <xf numFmtId="0" fontId="4" fillId="8" borderId="4" xfId="0" applyFont="true" applyFill="true" applyBorder="true">
      <alignment horizontal="left" vertical="center"/>
    </xf>
    <xf numFmtId="0" fontId="4" borderId="4" xfId="0" applyFont="true" applyBorder="true"/>
    <xf numFmtId="0" fontId="5" borderId="4" xfId="0" applyFont="true" applyBorder="true"/>
    <xf numFmtId="0" fontId="6" borderId="4" xfId="0" applyFont="true" applyBorder="true"/>
    <xf numFmtId="0" fontId="4" borderId="1" xfId="0" applyFont="true" applyBorder="true"/>
    <xf numFmtId="0" fontId="6" borderId="0" xfId="0" applyFont="true"/>
    <xf numFmtId="0" fontId="4" borderId="4" xfId="0" applyFont="true" applyBorder="true">
      <alignment horizontal="left" vertical="center" wrapText="true"/>
    </xf>
    <xf numFmtId="0" fontId="4" fillId="8" borderId="4" xfId="0" applyFont="true" applyFill="true" applyBorder="true">
      <alignment horizontal="left" vertical="center" wrapText="true"/>
    </xf>
    <xf numFmtId="0" fontId="4" borderId="4" xfId="0" applyFont="true" applyBorder="true">
      <alignment horizontal="left" vertical="center"/>
    </xf>
    <xf numFmtId="0" fontId="4" borderId="4" xfId="0" applyFont="true" applyBorder="true">
      <alignment vertical="center"/>
    </xf>
    <xf numFmtId="0" fontId="5" borderId="4" xfId="0" applyFont="true" applyBorder="true">
      <alignment horizontal="left" vertical="top"/>
    </xf>
    <xf numFmtId="0" fontId="5" borderId="4" xfId="0" applyFont="true" applyBorder="true">
      <alignment vertical="center"/>
    </xf>
    <xf numFmtId="0" fontId="7" borderId="4" xfId="0" applyFont="true" applyBorder="true"/>
    <xf numFmtId="0" fontId="8" borderId="4" xfId="0" applyFont="true" applyBorder="true"/>
    <xf numFmtId="0" fontId="6" borderId="4" xfId="0" applyFont="true" applyBorder="true">
      <alignment vertical="center"/>
    </xf>
    <xf numFmtId="0" fontId="6" borderId="0" xfId="0" applyFont="true">
      <alignment horizontal="center"/>
    </xf>
    <xf numFmtId="0" fontId="4" fillId="7" borderId="3" xfId="0" applyFont="true" applyFill="true" applyBorder="true">
      <alignment horizontal="center" vertical="top"/>
    </xf>
    <xf numFmtId="0" fontId="4" borderId="4" xfId="0" applyFont="true" applyBorder="true">
      <alignment horizontal="right"/>
    </xf>
    <xf numFmtId="4" fontId="6" borderId="4" xfId="0" applyNumberFormat="true" applyFont="true" applyBorder="true">
      <alignment horizontal="right" vertical="center"/>
    </xf>
    <xf numFmtId="0" fontId="4" fillId="7" borderId="5" xfId="0" applyFont="true" applyFill="true" applyBorder="true">
      <alignment horizontal="left" vertical="top"/>
    </xf>
    <xf numFmtId="0" fontId="4" borderId="4" xfId="0" applyFont="true" applyBorder="true">
      <alignment vertical="center" wrapText="true"/>
    </xf>
    <xf numFmtId="0" fontId="9" borderId="6" xfId="3" applyFont="true" applyBorder="true">
      <alignment horizontal="right"/>
    </xf>
    <xf numFmtId="0" fontId="9" borderId="7" xfId="3" applyFont="true" applyBorder="true">
      <alignment horizontal="right"/>
    </xf>
    <xf numFmtId="0" fontId="9" borderId="8" xfId="3" applyFont="true" applyBorder="true">
      <alignment horizontal="right"/>
    </xf>
    <xf numFmtId="0" fontId="1" xfId="3">
      <alignment horizontal="right"/>
    </xf>
    <xf numFmtId="0" fontId="2" borderId="9" xfId="0" applyFont="true" applyBorder="true">
      <alignment horizontal="center"/>
    </xf>
    <xf numFmtId="0" fontId="0" fillId="9" borderId="10" xfId="0" applyFill="true" applyBorder="true">
      <alignment horizontal="center"/>
    </xf>
    <xf numFmtId="0" fontId="10" borderId="10" xfId="0" applyFont="true" applyBorder="true">
      <alignment horizontal="right"/>
    </xf>
    <xf numFmtId="0" fontId="10" borderId="11" xfId="0" applyFont="true" applyBorder="true">
      <alignment horizontal="right"/>
    </xf>
    <xf numFmtId="0" fontId="0" borderId="1" xfId="0" applyBorder="true"/>
    <xf numFmtId="0" fontId="11" borderId="12" xfId="0" applyFont="true" applyBorder="true">
      <alignment horizontal="center" vertical="center" wrapText="true"/>
    </xf>
    <xf numFmtId="0" fontId="11" borderId="0" xfId="0" applyFont="true">
      <alignment horizontal="center" vertical="center" wrapText="true"/>
    </xf>
    <xf numFmtId="0" fontId="9" borderId="13" xfId="3" applyFont="true" applyBorder="true">
      <alignment horizontal="right"/>
    </xf>
    <xf numFmtId="0" fontId="9" borderId="4" xfId="3" applyFont="true" applyBorder="true">
      <alignment horizontal="right"/>
    </xf>
    <xf numFmtId="0" fontId="9" borderId="14" xfId="3" applyFont="true" applyBorder="true">
      <alignment horizontal="right"/>
    </xf>
    <xf numFmtId="0" fontId="12" borderId="0" xfId="0" applyFont="true">
      <alignment horizontal="right"/>
    </xf>
    <xf numFmtId="0" fontId="2" borderId="12" xfId="0" applyFont="true" applyBorder="true">
      <alignment horizontal="center"/>
    </xf>
    <xf numFmtId="0" fontId="0" fillId="9" borderId="0" xfId="0" applyFill="true">
      <alignment horizontal="center"/>
    </xf>
    <xf numFmtId="2" fontId="0" borderId="15" xfId="0" applyNumberFormat="true" applyBorder="true"/>
    <xf numFmtId="0" fontId="0" borderId="15" xfId="0" applyBorder="true"/>
    <xf numFmtId="0" fontId="0" borderId="16" xfId="0" applyBorder="true"/>
    <xf numFmtId="0" fontId="9" borderId="17" xfId="3" applyFont="true" applyBorder="true">
      <alignment horizontal="right"/>
    </xf>
    <xf numFmtId="0" fontId="9" borderId="18" xfId="3" applyFont="true" applyBorder="true">
      <alignment horizontal="right"/>
    </xf>
    <xf numFmtId="1" fontId="0" borderId="0" xfId="0" applyNumberFormat="true">
      <alignment wrapText="true"/>
    </xf>
    <xf numFmtId="202" fontId="0" fillId="2" borderId="19" xfId="4" applyNumberFormat="true" applyFill="true" applyBorder="true">
      <alignment horizontal="right"/>
    </xf>
    <xf numFmtId="2" fontId="0" borderId="1" xfId="0" applyNumberFormat="true" applyBorder="true"/>
    <xf numFmtId="2" fontId="12" borderId="1" xfId="0" applyNumberFormat="true" applyFont="true" applyBorder="true"/>
    <xf numFmtId="0" fontId="0" borderId="1" xfId="0" applyBorder="true">
      <alignment horizontal="right"/>
    </xf>
    <xf numFmtId="0" fontId="9" xfId="3" applyFont="true"/>
    <xf numFmtId="203" fontId="9" xfId="3" applyNumberFormat="true" applyFont="true"/>
    <xf numFmtId="0" fontId="13" borderId="0" xfId="0" applyFont="true"/>
    <xf numFmtId="0" fontId="0" fillId="10" borderId="0" xfId="0" applyFill="true">
      <alignment horizontal="center"/>
    </xf>
    <xf numFmtId="0" fontId="10" borderId="0" xfId="0" applyFont="true">
      <alignment horizontal="right"/>
    </xf>
    <xf numFmtId="0" fontId="2" borderId="7" xfId="0" applyFont="true" applyBorder="true">
      <alignment horizontal="right"/>
    </xf>
    <xf numFmtId="0" fontId="2" borderId="8" xfId="0" applyFont="true" applyBorder="true">
      <alignment horizontal="right"/>
    </xf>
    <xf numFmtId="0" fontId="1" xfId="3">
      <alignment horizontal="right" wrapText="true"/>
    </xf>
    <xf numFmtId="2" fontId="0" borderId="1" xfId="0" applyNumberFormat="true" applyBorder="true">
      <alignment horizontal="right"/>
    </xf>
    <xf numFmtId="2" fontId="0" borderId="15" xfId="0" applyNumberFormat="true" applyBorder="true">
      <alignment horizontal="right"/>
    </xf>
    <xf numFmtId="2" fontId="0" borderId="0" xfId="0" applyNumberFormat="true">
      <alignment horizontal="right"/>
    </xf>
    <xf numFmtId="0" fontId="2" borderId="4" xfId="0" applyFont="true" applyBorder="true">
      <alignment horizontal="right"/>
    </xf>
    <xf numFmtId="0" fontId="2" borderId="14" xfId="0" applyFont="true" applyBorder="true">
      <alignment horizontal="right"/>
    </xf>
    <xf numFmtId="0" fontId="9" borderId="18" xfId="0" applyFont="true" applyBorder="true">
      <alignment horizontal="right"/>
    </xf>
    <xf fontId="0" fillId="2" borderId="18" xfId="4" applyFill="true" applyBorder="true">
      <alignment horizontal="right"/>
    </xf>
    <xf numFmtId="0" fontId="0" borderId="18" xfId="0" applyBorder="true"/>
    <xf numFmtId="0" fontId="0" borderId="19" xfId="0" applyBorder="true"/>
    <xf numFmtId="0" fontId="2" borderId="5" xfId="0" applyFont="true" applyBorder="true">
      <alignment horizontal="center"/>
    </xf>
    <xf numFmtId="0" fontId="0" fillId="10" borderId="20" xfId="0" applyFill="true" applyBorder="true">
      <alignment horizontal="center"/>
    </xf>
    <xf numFmtId="2" fontId="0" borderId="21" xfId="0" applyNumberFormat="true" applyBorder="true"/>
    <xf numFmtId="2" fontId="0" borderId="22" xfId="0" applyNumberFormat="true" applyBorder="true"/>
    <xf numFmtId="2" fontId="0" borderId="23" xfId="0" applyNumberFormat="true" applyBorder="true">
      <alignment horizontal="right"/>
    </xf>
    <xf numFmtId="0" fontId="0" borderId="24" xfId="0" applyBorder="true"/>
  </cellXfs>
  <cellStyles count="27">
    <cellStyle name="Normal" xfId="0" builtinId="0"/>
    <cellStyle name="Comma" xfId="1" builtinId="3"/>
    <cellStyle name="Currency" xfId="2" builtinId="4"/>
    <cellStyle name="=C:\WINNT\SYSTEM32\COMMAND.COM" xfId="3"/>
    <cellStyle name="20% - Accent3 1" xfId="4"/>
    <cellStyle name="20% - Accent3 2" xfId="4"/>
    <cellStyle name="20% - Accent3 3" xfId="4"/>
    <cellStyle name="20% - Accent3 4" xfId="4"/>
    <cellStyle name="20% - Accent3 5" xfId="4"/>
    <cellStyle name="20% - Accent3 6" xfId="4"/>
    <cellStyle name="20% - Accent3 7" xfId="4"/>
    <cellStyle name="20% - Accent3 8" xfId="4"/>
    <cellStyle name="20% - Accent3 9" xfId="4"/>
    <cellStyle name="20% - Accent3 10" xfId="4"/>
    <cellStyle name="20% - Accent3 11" xfId="4"/>
    <cellStyle name="20% - Accent3 12" xfId="4"/>
    <cellStyle name="20% - Accent3 13" xfId="4"/>
    <cellStyle name="20% - Accent3 14" xfId="4"/>
    <cellStyle name="20% - Accent3 15" xfId="4"/>
    <cellStyle name="20% - Accent3 16" xfId="4"/>
    <cellStyle name="20% - Accent3 17" xfId="4"/>
    <cellStyle name="20% - Accent3 18" xfId="4"/>
    <cellStyle name="20% - Accent3 19" xfId="4"/>
    <cellStyle name="20% - Accent3 20" xfId="4"/>
    <cellStyle name="20% - Accent3 21" xfId="4"/>
    <cellStyle name="20% - Accent3 22" xfId="4"/>
    <cellStyle name="20% - Accent3 23" xfId="4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worksheet" Target="worksheets/sheet1.xml" /><Relationship Id="rId5" Type="http://schemas.openxmlformats.org/officeDocument/2006/relationships/worksheet" Target="worksheets/sheet2.xml" /><Relationship Id="rId6" Type="http://schemas.openxmlformats.org/officeDocument/2006/relationships/worksheet" Target="worksheets/sheet3.xml" /><Relationship Id="rId7" Type="http://schemas.openxmlformats.org/officeDocument/2006/relationships/worksheet" Target="worksheets/sheet4.xml" /><Relationship Id="rId8" Type="http://schemas.openxmlformats.org/officeDocument/2006/relationships/worksheet" Target="worksheets/sheet5.xml" /><Relationship Id="rId9" Type="http://schemas.openxmlformats.org/officeDocument/2006/relationships/worksheet" Target="worksheets/sheet6.xml" /><Relationship Id="rId10" Type="http://schemas.openxmlformats.org/officeDocument/2006/relationships/worksheet" Target="worksheets/sheet7.xml" /><Relationship Id="rId11" Type="http://schemas.openxmlformats.org/officeDocument/2006/relationships/worksheet" Target="worksheets/sheet8.xml" /><Relationship Id="rId12" Type="http://schemas.openxmlformats.org/officeDocument/2006/relationships/worksheet" Target="worksheets/sheet9.xml" /><Relationship Id="rId13" Type="http://schemas.openxmlformats.org/officeDocument/2006/relationships/worksheet" Target="worksheets/sheet10.xml" /><Relationship Id="rId14" Type="http://schemas.openxmlformats.org/officeDocument/2006/relationships/worksheet" Target="worksheets/sheet11.xml" /><Relationship Id="rId15" Type="http://schemas.openxmlformats.org/officeDocument/2006/relationships/worksheet" Target="worksheets/sheet12.xml" /><Relationship Id="rId16" Type="http://schemas.openxmlformats.org/officeDocument/2006/relationships/worksheet" Target="worksheets/sheet13.xml" /><Relationship Id="rId17" Type="http://schemas.openxmlformats.org/officeDocument/2006/relationships/worksheet" Target="worksheets/sheet14.xml" /><Relationship Id="rId18" Type="http://schemas.openxmlformats.org/officeDocument/2006/relationships/worksheet" Target="worksheets/sheet15.xml" /><Relationship Id="rId19" Type="http://schemas.openxmlformats.org/officeDocument/2006/relationships/worksheet" Target="worksheets/sheet16.xml" /><Relationship Id="rId20" Type="http://schemas.openxmlformats.org/officeDocument/2006/relationships/worksheet" Target="worksheets/sheet17.xml" /><Relationship Id="rId21" Type="http://schemas.openxmlformats.org/officeDocument/2006/relationships/worksheet" Target="worksheets/sheet18.xml" /><Relationship Id="rId22" Type="http://schemas.openxmlformats.org/officeDocument/2006/relationships/worksheet" Target="worksheets/sheet19.xml" /><Relationship Id="rId23" Type="http://schemas.openxmlformats.org/officeDocument/2006/relationships/worksheet" Target="worksheets/sheet20.xml" /><Relationship Id="rId24" Type="http://schemas.openxmlformats.org/officeDocument/2006/relationships/worksheet" Target="worksheets/sheet21.xml" /><Relationship Id="rId25" Type="http://schemas.openxmlformats.org/officeDocument/2006/relationships/worksheet" Target="worksheets/sheet22.xml" /><Relationship Id="rId26" Type="http://schemas.openxmlformats.org/officeDocument/2006/relationships/worksheet" Target="worksheets/sheet23.xml" /><Relationship Id="rId27" Type="http://schemas.openxmlformats.org/officeDocument/2006/relationships/worksheet" Target="worksheets/sheet24.xml" /><Relationship Id="rId28" Type="http://schemas.openxmlformats.org/officeDocument/2006/relationships/worksheet" Target="worksheets/sheet25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image" Target="../media/image3.png" /></Relationships>
</file>

<file path=xl/drawings/_rels/drawing6.xml.rels>&#65279;<?xml version="1.0" encoding="utf-8"?><Relationships xmlns="http://schemas.openxmlformats.org/package/2006/relationships"><Relationship Id="rId1" Type="http://schemas.openxmlformats.org/officeDocument/2006/relationships/image" Target="../media/image4.png" /></Relationships>
</file>

<file path=xl/drawings/_rels/drawing7.xml.rels>&#65279;<?xml version="1.0" encoding="utf-8"?><Relationships xmlns="http://schemas.openxmlformats.org/package/2006/relationships"><Relationship Id="rId1" Type="http://schemas.openxmlformats.org/officeDocument/2006/relationships/image" Target="../media/image5.png" /></Relationships>
</file>

<file path=xl/drawings/_rels/drawing8.xml.rels>&#65279;<?xml version="1.0" encoding="utf-8"?><Relationships xmlns="http://schemas.openxmlformats.org/package/2006/relationships"><Relationship Id="rId1" Type="http://schemas.openxmlformats.org/officeDocument/2006/relationships/image" Target="../media/image6.png" /></Relationships>
</file>

<file path=xl/drawings/_rels/drawing9.xml.rels>&#65279;<?xml version="1.0" encoding="utf-8"?><Relationships xmlns="http://schemas.openxmlformats.org/package/2006/relationships"><Relationship Id="rId1" Type="http://schemas.openxmlformats.org/officeDocument/2006/relationships/image" Target="../media/image7.png" /></Relationships>
</file>

<file path=xl/drawings/_rels/drawing10.xml.rels>&#65279;<?xml version="1.0" encoding="utf-8"?><Relationships xmlns="http://schemas.openxmlformats.org/package/2006/relationships"><Relationship Id="rId1" Type="http://schemas.openxmlformats.org/officeDocument/2006/relationships/image" Target="../media/image8.png" /></Relationships>
</file>

<file path=xl/drawings/_rels/drawing11.xml.rels>&#65279;<?xml version="1.0" encoding="utf-8"?><Relationships xmlns="http://schemas.openxmlformats.org/package/2006/relationships"><Relationship Id="rId1" Type="http://schemas.openxmlformats.org/officeDocument/2006/relationships/image" Target="../media/image9.png" /></Relationships>
</file>

<file path=xl/drawings/_rels/drawing12.xml.rels>&#65279;<?xml version="1.0" encoding="utf-8"?><Relationships xmlns="http://schemas.openxmlformats.org/package/2006/relationships"><Relationship Id="rId1" Type="http://schemas.openxmlformats.org/officeDocument/2006/relationships/image" Target="../media/image10.png" /></Relationships>
</file>

<file path=xl/drawings/_rels/drawing13.xml.rels>&#65279;<?xml version="1.0" encoding="utf-8"?><Relationships xmlns="http://schemas.openxmlformats.org/package/2006/relationships"><Relationship Id="rId1" Type="http://schemas.openxmlformats.org/officeDocument/2006/relationships/image" Target="../media/image11.png" /></Relationships>
</file>

<file path=xl/drawings/_rels/drawing14.xml.rels>&#65279;<?xml version="1.0" encoding="utf-8"?><Relationships xmlns="http://schemas.openxmlformats.org/package/2006/relationships"><Relationship Id="rId1" Type="http://schemas.openxmlformats.org/officeDocument/2006/relationships/image" Target="../media/image12.png" /></Relationships>
</file>

<file path=xl/drawings/_rels/drawing15.xml.rels>&#65279;<?xml version="1.0" encoding="utf-8"?><Relationships xmlns="http://schemas.openxmlformats.org/package/2006/relationships"><Relationship Id="rId1" Type="http://schemas.openxmlformats.org/officeDocument/2006/relationships/image" Target="../media/image13.png" /></Relationships>
</file>

<file path=xl/drawings/_rels/drawing16.xml.rels>&#65279;<?xml version="1.0" encoding="utf-8"?><Relationships xmlns="http://schemas.openxmlformats.org/package/2006/relationships"><Relationship Id="rId1" Type="http://schemas.openxmlformats.org/officeDocument/2006/relationships/image" Target="../media/image14.png" /></Relationships>
</file>

<file path=xl/drawings/_rels/drawing17.xml.rels>&#65279;<?xml version="1.0" encoding="utf-8"?><Relationships xmlns="http://schemas.openxmlformats.org/package/2006/relationships"><Relationship Id="rId1" Type="http://schemas.openxmlformats.org/officeDocument/2006/relationships/image" Target="../media/image15.png" /></Relationships>
</file>

<file path=xl/drawings/_rels/drawing18.xml.rels>&#65279;<?xml version="1.0" encoding="utf-8"?><Relationships xmlns="http://schemas.openxmlformats.org/package/2006/relationships"><Relationship Id="rId1" Type="http://schemas.openxmlformats.org/officeDocument/2006/relationships/image" Target="../media/image16.png" /></Relationships>
</file>

<file path=xl/drawings/_rels/drawing19.xml.rels>&#65279;<?xml version="1.0" encoding="utf-8"?><Relationships xmlns="http://schemas.openxmlformats.org/package/2006/relationships"><Relationship Id="rId1" Type="http://schemas.openxmlformats.org/officeDocument/2006/relationships/image" Target="../media/image17.png" /></Relationships>
</file>

<file path=xl/drawings/_rels/drawing20.xml.rels>&#65279;<?xml version="1.0" encoding="utf-8"?><Relationships xmlns="http://schemas.openxmlformats.org/package/2006/relationships"><Relationship Id="rId1" Type="http://schemas.openxmlformats.org/officeDocument/2006/relationships/image" Target="../media/image18.png" /></Relationships>
</file>

<file path=xl/drawings/_rels/drawing21.xml.rels>&#65279;<?xml version="1.0" encoding="utf-8"?><Relationships xmlns="http://schemas.openxmlformats.org/package/2006/relationships"><Relationship Id="rId1" Type="http://schemas.openxmlformats.org/officeDocument/2006/relationships/image" Target="../media/image19.png" /></Relationships>
</file>

<file path=xl/drawings/_rels/drawing22.xml.rels>&#65279;<?xml version="1.0" encoding="utf-8"?><Relationships xmlns="http://schemas.openxmlformats.org/package/2006/relationships"><Relationship Id="rId1" Type="http://schemas.openxmlformats.org/officeDocument/2006/relationships/image" Target="../media/image20.png" /></Relationships>
</file>

<file path=xl/drawings/_rels/drawing23.xml.rels>&#65279;<?xml version="1.0" encoding="utf-8"?><Relationships xmlns="http://schemas.openxmlformats.org/package/2006/relationships"><Relationship Id="rId1" Type="http://schemas.openxmlformats.org/officeDocument/2006/relationships/image" Target="../media/image21.png" /></Relationships>
</file>

<file path=xl/drawings/_rels/drawing24.xml.rels>&#65279;<?xml version="1.0" encoding="utf-8"?><Relationships xmlns="http://schemas.openxmlformats.org/package/2006/relationships"><Relationship Id="rId1" Type="http://schemas.openxmlformats.org/officeDocument/2006/relationships/image" Target="../media/image22.png" /></Relationships>
</file>

<file path=xl/drawings/_rels/drawing25.xml.rels>&#65279;<?xml version="1.0" encoding="utf-8"?><Relationships xmlns="http://schemas.openxmlformats.org/package/2006/relationships"><Relationship Id="rId1" Type="http://schemas.openxmlformats.org/officeDocument/2006/relationships/image" Target="../media/image23.png" /></Relationships>
</file>

<file path=xl/drawings/drawing3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923925</xdr:colOff>
      <xdr:row>4</xdr:row>
      <xdr:rowOff>9525</xdr:rowOff>
    </xdr:to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y="819150" cx="923925"/>
        </a:xfrm>
        <a:prstGeom prst="rect"/>
        <a:noFill/>
        <a:ln w="0"/>
      </xdr:spPr>
    </xdr:pic>
    <xdr:clientData/>
  </xdr:twoCellAnchor>
</xdr:wsDr>
</file>

<file path=xl/drawings/drawing4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923925</xdr:colOff>
      <xdr:row>4</xdr:row>
      <xdr:rowOff>9525</xdr:rowOff>
    </xdr:to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y="819150" cx="923925"/>
        </a:xfrm>
        <a:prstGeom prst="rect"/>
        <a:noFill/>
        <a:ln w="0"/>
      </xdr:spPr>
    </xdr:pic>
    <xdr:clientData/>
  </xdr:twoCellAnchor>
</xdr:wsDr>
</file>

<file path=xl/drawings/drawing5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923925</xdr:colOff>
      <xdr:row>4</xdr:row>
      <xdr:rowOff>9525</xdr:rowOff>
    </xdr:to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y="819150" cx="923925"/>
        </a:xfrm>
        <a:prstGeom prst="rect"/>
        <a:noFill/>
        <a:ln w="0"/>
      </xdr:spPr>
    </xdr:pic>
    <xdr:clientData/>
  </xdr:twoCellAnchor>
</xdr:wsDr>
</file>

<file path=xl/drawings/drawing6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923925</xdr:colOff>
      <xdr:row>4</xdr:row>
      <xdr:rowOff>9525</xdr:rowOff>
    </xdr:to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y="819150" cx="923925"/>
        </a:xfrm>
        <a:prstGeom prst="rect"/>
        <a:noFill/>
        <a:ln w="0"/>
      </xdr:spPr>
    </xdr:pic>
    <xdr:clientData/>
  </xdr:twoCellAnchor>
</xdr:wsDr>
</file>

<file path=xl/drawings/drawing7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923925</xdr:colOff>
      <xdr:row>4</xdr:row>
      <xdr:rowOff>9525</xdr:rowOff>
    </xdr:to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y="819150" cx="923925"/>
        </a:xfrm>
        <a:prstGeom prst="rect"/>
        <a:noFill/>
        <a:ln w="0"/>
      </xdr:spPr>
    </xdr:pic>
    <xdr:clientData/>
  </xdr:twoCellAnchor>
</xdr:wsDr>
</file>

<file path=xl/drawings/drawing8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923925</xdr:colOff>
      <xdr:row>4</xdr:row>
      <xdr:rowOff>9525</xdr:rowOff>
    </xdr:to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y="819150" cx="923925"/>
        </a:xfrm>
        <a:prstGeom prst="rect"/>
        <a:noFill/>
        <a:ln w="0"/>
      </xdr:spPr>
    </xdr:pic>
    <xdr:clientData/>
  </xdr:twoCellAnchor>
</xdr:wsDr>
</file>

<file path=xl/drawings/drawing9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923925</xdr:colOff>
      <xdr:row>4</xdr:row>
      <xdr:rowOff>9525</xdr:rowOff>
    </xdr:to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y="819150" cx="923925"/>
        </a:xfrm>
        <a:prstGeom prst="rect"/>
        <a:noFill/>
        <a:ln w="0"/>
      </xdr:spPr>
    </xdr:pic>
    <xdr:clientData/>
  </xdr:twoCellAnchor>
</xdr:wsDr>
</file>

<file path=xl/drawings/drawing10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923925</xdr:colOff>
      <xdr:row>4</xdr:row>
      <xdr:rowOff>9525</xdr:rowOff>
    </xdr:to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y="819150" cx="923925"/>
        </a:xfrm>
        <a:prstGeom prst="rect"/>
        <a:noFill/>
        <a:ln w="0"/>
      </xdr:spPr>
    </xdr:pic>
    <xdr:clientData/>
  </xdr:twoCellAnchor>
</xdr:wsDr>
</file>

<file path=xl/drawings/drawing1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923925</xdr:colOff>
      <xdr:row>4</xdr:row>
      <xdr:rowOff>9525</xdr:rowOff>
    </xdr:to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y="819150" cx="923925"/>
        </a:xfrm>
        <a:prstGeom prst="rect"/>
        <a:noFill/>
        <a:ln w="0"/>
      </xdr:spPr>
    </xdr:pic>
    <xdr:clientData/>
  </xdr:twoCellAnchor>
</xdr:wsDr>
</file>

<file path=xl/drawings/drawing1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923925</xdr:colOff>
      <xdr:row>4</xdr:row>
      <xdr:rowOff>9525</xdr:rowOff>
    </xdr:to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y="819150" cx="923925"/>
        </a:xfrm>
        <a:prstGeom prst="rect"/>
        <a:noFill/>
        <a:ln w="0"/>
      </xdr:spPr>
    </xdr:pic>
    <xdr:clientData/>
  </xdr:twoCellAnchor>
</xdr:wsDr>
</file>

<file path=xl/drawings/drawing13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923925</xdr:colOff>
      <xdr:row>4</xdr:row>
      <xdr:rowOff>9525</xdr:rowOff>
    </xdr:to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y="819150" cx="923925"/>
        </a:xfrm>
        <a:prstGeom prst="rect"/>
        <a:noFill/>
        <a:ln w="0"/>
      </xdr:spPr>
    </xdr:pic>
    <xdr:clientData/>
  </xdr:twoCellAnchor>
</xdr:wsDr>
</file>

<file path=xl/drawings/drawing14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923925</xdr:colOff>
      <xdr:row>4</xdr:row>
      <xdr:rowOff>9525</xdr:rowOff>
    </xdr:to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y="819150" cx="923925"/>
        </a:xfrm>
        <a:prstGeom prst="rect"/>
        <a:noFill/>
        <a:ln w="0"/>
      </xdr:spPr>
    </xdr:pic>
    <xdr:clientData/>
  </xdr:twoCellAnchor>
</xdr:wsDr>
</file>

<file path=xl/drawings/drawing15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923925</xdr:colOff>
      <xdr:row>4</xdr:row>
      <xdr:rowOff>9525</xdr:rowOff>
    </xdr:to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y="819150" cx="923925"/>
        </a:xfrm>
        <a:prstGeom prst="rect"/>
        <a:noFill/>
        <a:ln w="0"/>
      </xdr:spPr>
    </xdr:pic>
    <xdr:clientData/>
  </xdr:twoCellAnchor>
</xdr:wsDr>
</file>

<file path=xl/drawings/drawing16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923925</xdr:colOff>
      <xdr:row>4</xdr:row>
      <xdr:rowOff>9525</xdr:rowOff>
    </xdr:to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y="819150" cx="923925"/>
        </a:xfrm>
        <a:prstGeom prst="rect"/>
        <a:noFill/>
        <a:ln w="0"/>
      </xdr:spPr>
    </xdr:pic>
    <xdr:clientData/>
  </xdr:twoCellAnchor>
</xdr:wsDr>
</file>

<file path=xl/drawings/drawing17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923925</xdr:colOff>
      <xdr:row>4</xdr:row>
      <xdr:rowOff>9525</xdr:rowOff>
    </xdr:to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y="819150" cx="923925"/>
        </a:xfrm>
        <a:prstGeom prst="rect"/>
        <a:noFill/>
        <a:ln w="0"/>
      </xdr:spPr>
    </xdr:pic>
    <xdr:clientData/>
  </xdr:twoCellAnchor>
</xdr:wsDr>
</file>

<file path=xl/drawings/drawing18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923925</xdr:colOff>
      <xdr:row>4</xdr:row>
      <xdr:rowOff>9525</xdr:rowOff>
    </xdr:to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y="819150" cx="923925"/>
        </a:xfrm>
        <a:prstGeom prst="rect"/>
        <a:noFill/>
        <a:ln w="0"/>
      </xdr:spPr>
    </xdr:pic>
    <xdr:clientData/>
  </xdr:twoCellAnchor>
</xdr:wsDr>
</file>

<file path=xl/drawings/drawing19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923925</xdr:colOff>
      <xdr:row>4</xdr:row>
      <xdr:rowOff>9525</xdr:rowOff>
    </xdr:to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y="819150" cx="923925"/>
        </a:xfrm>
        <a:prstGeom prst="rect"/>
        <a:noFill/>
        <a:ln w="0"/>
      </xdr:spPr>
    </xdr:pic>
    <xdr:clientData/>
  </xdr:twoCellAnchor>
</xdr:wsDr>
</file>

<file path=xl/drawings/drawing20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923925</xdr:colOff>
      <xdr:row>4</xdr:row>
      <xdr:rowOff>9525</xdr:rowOff>
    </xdr:to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y="819150" cx="923925"/>
        </a:xfrm>
        <a:prstGeom prst="rect"/>
        <a:noFill/>
        <a:ln w="0"/>
      </xdr:spPr>
    </xdr:pic>
    <xdr:clientData/>
  </xdr:twoCellAnchor>
</xdr:wsDr>
</file>

<file path=xl/drawings/drawing2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923925</xdr:colOff>
      <xdr:row>4</xdr:row>
      <xdr:rowOff>9525</xdr:rowOff>
    </xdr:to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y="819150" cx="923925"/>
        </a:xfrm>
        <a:prstGeom prst="rect"/>
        <a:noFill/>
        <a:ln w="0"/>
      </xdr:spPr>
    </xdr:pic>
    <xdr:clientData/>
  </xdr:twoCellAnchor>
</xdr:wsDr>
</file>

<file path=xl/drawings/drawing2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923925</xdr:colOff>
      <xdr:row>4</xdr:row>
      <xdr:rowOff>9525</xdr:rowOff>
    </xdr:to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y="819150" cx="923925"/>
        </a:xfrm>
        <a:prstGeom prst="rect"/>
        <a:noFill/>
        <a:ln w="0"/>
      </xdr:spPr>
    </xdr:pic>
    <xdr:clientData/>
  </xdr:twoCellAnchor>
</xdr:wsDr>
</file>

<file path=xl/drawings/drawing23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923925</xdr:colOff>
      <xdr:row>4</xdr:row>
      <xdr:rowOff>9525</xdr:rowOff>
    </xdr:to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y="819150" cx="923925"/>
        </a:xfrm>
        <a:prstGeom prst="rect"/>
        <a:noFill/>
        <a:ln w="0"/>
      </xdr:spPr>
    </xdr:pic>
    <xdr:clientData/>
  </xdr:twoCellAnchor>
</xdr:wsDr>
</file>

<file path=xl/drawings/drawing24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923925</xdr:colOff>
      <xdr:row>4</xdr:row>
      <xdr:rowOff>9525</xdr:rowOff>
    </xdr:to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y="819150" cx="923925"/>
        </a:xfrm>
        <a:prstGeom prst="rect"/>
        <a:noFill/>
        <a:ln w="0"/>
      </xdr:spPr>
    </xdr:pic>
    <xdr:clientData/>
  </xdr:twoCellAnchor>
</xdr:wsDr>
</file>

<file path=xl/drawings/drawing25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923925</xdr:colOff>
      <xdr:row>4</xdr:row>
      <xdr:rowOff>9525</xdr:rowOff>
    </xdr:to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y="819150" cx="923925"/>
        </a:xfrm>
        <a:prstGeom prst="rect"/>
        <a:noFill/>
        <a:ln w="0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8.xml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9.xml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drawing" Target="../drawings/drawing10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11.xml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drawing" Target="../drawings/drawing1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13.xml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drawing" Target="../drawings/drawing14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15.xml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drawing" Target="../drawings/drawing16.xml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drawing" Target="../drawings/drawing17.xml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drawing" Target="../drawings/drawing18.xml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drawing" Target="../drawings/drawing19.xml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drawing" Target="../drawings/drawing20.xml" /></Relationships>
</file>

<file path=xl/worksheets/_rels/sheet21.xml.rels>&#65279;<?xml version="1.0" encoding="utf-8"?><Relationships xmlns="http://schemas.openxmlformats.org/package/2006/relationships"><Relationship Id="rId1" Type="http://schemas.openxmlformats.org/officeDocument/2006/relationships/drawing" Target="../drawings/drawing21.xml" /></Relationships>
</file>

<file path=xl/worksheets/_rels/sheet22.xml.rels>&#65279;<?xml version="1.0" encoding="utf-8"?><Relationships xmlns="http://schemas.openxmlformats.org/package/2006/relationships"><Relationship Id="rId1" Type="http://schemas.openxmlformats.org/officeDocument/2006/relationships/drawing" Target="../drawings/drawing22.xml" /></Relationships>
</file>

<file path=xl/worksheets/_rels/sheet23.xml.rels>&#65279;<?xml version="1.0" encoding="utf-8"?><Relationships xmlns="http://schemas.openxmlformats.org/package/2006/relationships"><Relationship Id="rId1" Type="http://schemas.openxmlformats.org/officeDocument/2006/relationships/drawing" Target="../drawings/drawing23.xml" /></Relationships>
</file>

<file path=xl/worksheets/_rels/sheet24.xml.rels>&#65279;<?xml version="1.0" encoding="utf-8"?><Relationships xmlns="http://schemas.openxmlformats.org/package/2006/relationships"><Relationship Id="rId1" Type="http://schemas.openxmlformats.org/officeDocument/2006/relationships/drawing" Target="../drawings/drawing24.xml" /></Relationships>
</file>

<file path=xl/worksheets/_rels/sheet25.xml.rels>&#65279;<?xml version="1.0" encoding="utf-8"?><Relationships xmlns="http://schemas.openxmlformats.org/package/2006/relationships"><Relationship Id="rId1" Type="http://schemas.openxmlformats.org/officeDocument/2006/relationships/drawing" Target="../drawings/drawing25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true"/>
  </sheetPr>
  <dimension ref="A1:AD55"/>
  <sheetViews>
    <sheetView zoomScale="100" topLeftCell="A1" workbookViewId="0" showGridLines="true" showRowColHeaders="true">
      <pane xSplit="1" ySplit="3" topLeftCell="M4" activePane="bottomRight" state="frozen"/>
      <selection activeCell="AB4" sqref="AB4:AB4" pane="bottomRight"/>
    </sheetView>
  </sheetViews>
  <sheetFormatPr customHeight="false" defaultColWidth="9.28125" defaultRowHeight="15"/>
  <cols>
    <col min="1" max="2" bestFit="false" customWidth="true" width="27.421875" hidden="false" outlineLevel="0"/>
    <col min="3" max="3" bestFit="false" customWidth="true" style="47" width="13.57421875" hidden="false" outlineLevel="0"/>
    <col min="4" max="4" bestFit="false" customWidth="true" style="47" width="11.57421875" hidden="false" outlineLevel="0"/>
    <col min="5" max="5" bestFit="false" customWidth="true" style="47" width="16.140625" hidden="false" outlineLevel="0"/>
    <col min="6" max="6" bestFit="false" customWidth="true" style="47" width="15.00390625" hidden="false" outlineLevel="0"/>
    <col min="7" max="9" bestFit="false" customWidth="true" style="47" width="14.00390625" hidden="false" outlineLevel="0"/>
    <col min="10" max="10" bestFit="false" customWidth="true" style="47" width="16.421875" hidden="false" outlineLevel="0"/>
    <col min="11" max="11" bestFit="false" customWidth="true" style="47" width="15.57421875" hidden="false" outlineLevel="0"/>
    <col min="12" max="12" bestFit="false" customWidth="true" style="47" width="2.57421875" hidden="false" outlineLevel="0"/>
    <col min="13" max="13" bestFit="false" customWidth="true" width="13.7109375" hidden="false" outlineLevel="0"/>
    <col min="14" max="14" bestFit="false" customWidth="true" width="12.57421875" hidden="false" outlineLevel="0"/>
    <col min="15" max="15" bestFit="false" customWidth="true" width="15.8515625" hidden="false" outlineLevel="0"/>
    <col min="16" max="16" bestFit="false" customWidth="true" style="47" width="2.57421875" hidden="false" outlineLevel="0"/>
    <col min="17" max="17" bestFit="false" customWidth="true" style="47" width="7.00390625" hidden="false" outlineLevel="0"/>
    <col min="18" max="18" bestFit="false" customWidth="true" width="15.8515625" hidden="false" outlineLevel="0"/>
    <col min="19" max="19" bestFit="false" customWidth="true" width="12.421875" hidden="false" outlineLevel="0"/>
    <col min="20" max="20" bestFit="false" customWidth="true" width="12.00390625" hidden="false" outlineLevel="0"/>
    <col min="21" max="21" bestFit="false" customWidth="true" width="2.8515625" hidden="false" outlineLevel="0"/>
    <col min="22" max="22" bestFit="false" customWidth="true" style="47" width="4.57421875" hidden="false" outlineLevel="0"/>
    <col min="23" max="23" bestFit="false" customWidth="true" width="12.140625" hidden="false" outlineLevel="0"/>
    <col min="24" max="24" bestFit="false" customWidth="true" width="2.57421875" hidden="false" outlineLevel="0"/>
    <col min="25" max="25" bestFit="false" customWidth="true" width="13.8515625" hidden="false" outlineLevel="0"/>
    <col min="27" max="27" bestFit="false" customWidth="true" width="11.140625" hidden="false" outlineLevel="0"/>
    <col min="28" max="28" bestFit="false" customWidth="true" width="11.421875" hidden="false" outlineLevel="0"/>
    <col min="29" max="29" bestFit="false" customWidth="true" width="2.57421875" hidden="false" outlineLevel="0"/>
    <col min="30" max="30" bestFit="false" customWidth="true" width="20.140625" hidden="false" outlineLevel="0"/>
  </cols>
  <sheetData>
    <row r="1">
      <c r="A1" s="5" t="n">
        <v>46113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35"/>
      <c r="N1" s="35"/>
      <c r="O1" s="35"/>
      <c r="P1" s="8"/>
      <c r="Q1" s="8"/>
      <c r="R1" s="35"/>
      <c r="S1" s="35"/>
      <c r="T1" s="35"/>
      <c r="U1" s="35"/>
      <c r="V1" s="8"/>
      <c r="W1" s="35"/>
      <c r="X1" s="35"/>
      <c r="Y1" s="35"/>
      <c r="Z1" s="35"/>
      <c r="AA1" s="35"/>
      <c r="AB1" s="35"/>
      <c r="AC1" s="35"/>
    </row>
    <row r="2">
      <c r="C2" s="8"/>
      <c r="D2" s="8"/>
      <c r="E2" s="8"/>
      <c r="F2" s="8"/>
      <c r="G2" s="8"/>
      <c r="H2" s="8"/>
      <c r="I2" s="8"/>
      <c r="J2" s="8"/>
      <c r="K2" s="8"/>
      <c r="L2" s="8"/>
      <c r="M2" s="35"/>
      <c r="N2" s="35"/>
      <c r="O2" s="35"/>
      <c r="P2" s="8"/>
      <c r="Q2" s="8"/>
      <c r="R2" s="35"/>
      <c r="S2" s="35"/>
      <c r="T2" s="35"/>
      <c r="U2" s="35"/>
      <c r="V2" s="8"/>
      <c r="W2" s="35"/>
      <c r="X2" s="35"/>
      <c r="Y2" s="35"/>
      <c r="Z2" s="35"/>
      <c r="AA2" s="35"/>
      <c r="AB2" s="35"/>
      <c r="AC2" s="35"/>
    </row>
    <row r="3">
      <c r="A3" s="6" t="s">
        <v>0</v>
      </c>
      <c r="B3" s="6" t="s">
        <v>26</v>
      </c>
      <c r="C3" s="13" t="s">
        <v>27</v>
      </c>
      <c r="D3" s="13" t="s">
        <v>28</v>
      </c>
      <c r="E3" s="13" t="s">
        <v>29</v>
      </c>
      <c r="F3" s="13" t="s">
        <v>30</v>
      </c>
      <c r="G3" s="13" t="s">
        <v>31</v>
      </c>
      <c r="H3" s="13" t="s">
        <v>32</v>
      </c>
      <c r="I3" s="13" t="s">
        <v>33</v>
      </c>
      <c r="J3" s="13" t="s">
        <v>34</v>
      </c>
      <c r="K3" s="31" t="s">
        <v>35</v>
      </c>
      <c r="L3" s="6"/>
      <c r="M3" s="36" t="s">
        <v>36</v>
      </c>
      <c r="N3" s="36" t="s">
        <v>37</v>
      </c>
      <c r="O3" s="36" t="s">
        <v>38</v>
      </c>
      <c r="P3" s="6"/>
      <c r="Q3" s="6" t="s">
        <v>39</v>
      </c>
      <c r="R3" s="13" t="s">
        <v>40</v>
      </c>
      <c r="S3" s="13" t="s">
        <v>41</v>
      </c>
      <c r="T3" s="36" t="s">
        <v>42</v>
      </c>
      <c r="U3" s="6"/>
      <c r="V3" s="31" t="s">
        <v>43</v>
      </c>
      <c r="W3" s="31"/>
      <c r="X3" s="58"/>
      <c r="Y3" s="13" t="s">
        <v>44</v>
      </c>
      <c r="Z3" s="13" t="s">
        <v>45</v>
      </c>
      <c r="AA3" s="31" t="s">
        <v>46</v>
      </c>
      <c r="AB3" s="31" t="s">
        <v>47</v>
      </c>
      <c r="AC3" s="8"/>
      <c r="AD3" s="63" t="s">
        <v>48</v>
      </c>
    </row>
    <row r="4">
      <c r="A4" t="s">
        <v>1</v>
      </c>
      <c r="B4" s="9" t="n">
        <v>46032</v>
      </c>
      <c r="C4" s="14" t="e">
        <f>IF(EDATE(B4,6)&gt;$A$1,"X","")</f>
        <v>#NAME?</v>
      </c>
      <c r="D4" s="17" t="n">
        <v>70000</v>
      </c>
      <c r="E4" s="19" t="n">
        <v>210.83</v>
      </c>
      <c r="F4" s="25" t="n">
        <v>0</v>
      </c>
      <c r="G4" s="25" t="n">
        <v>0</v>
      </c>
      <c r="H4" s="25" t="n">
        <v>0</v>
      </c>
      <c r="I4" s="25" t="n">
        <v>1</v>
      </c>
      <c r="J4" s="25" t="n">
        <v>36</v>
      </c>
      <c r="K4" s="32" t="n">
        <f>E4+F4+G4</f>
        <v>210.83</v>
      </c>
      <c r="M4" s="37" t="n">
        <v>358.97</v>
      </c>
      <c r="N4" s="37" t="n">
        <v>75681.65</v>
      </c>
      <c r="O4" s="37" t="n">
        <v>300</v>
      </c>
      <c r="R4" s="41" t="n">
        <v>0</v>
      </c>
      <c r="S4" s="45" t="n">
        <v>0</v>
      </c>
      <c r="T4" s="48" t="n">
        <f>N4+O4+R4-S4</f>
        <v>75981.65</v>
      </c>
      <c r="V4" s="54" t="str">
        <f>IF(D4&gt;T4,"X","")</f>
      </c>
      <c r="W4" s="56" t="n">
        <f>IF(SUM(N4+O4+R4-S4)&gt;D4,SUM(N4+O4+R4-S4),D4)</f>
        <v>75981.65</v>
      </c>
      <c r="Y4" s="59" t="n">
        <v>0</v>
      </c>
      <c r="Z4" s="59" t="n">
        <f>G4</f>
        <v>0</v>
      </c>
      <c r="AA4" s="61" t="n">
        <v>0</v>
      </c>
      <c r="AB4" s="61" t="n">
        <f>Y4+AA4-Z4</f>
        <v>0</v>
      </c>
      <c r="AC4" s="39"/>
      <c r="AD4" s="64" t="n">
        <f>(AB4*9)*M4</f>
        <v>0</v>
      </c>
    </row>
    <row r="5">
      <c r="A5" t="s">
        <v>2</v>
      </c>
      <c r="B5" s="10" t="n">
        <v>43617</v>
      </c>
      <c r="C5" s="14" t="e">
        <f>IF(EDATE(B5,6)&gt;$A$1,"X","")</f>
        <v>#NAME?</v>
      </c>
      <c r="D5" s="14" t="n">
        <v>72628.13</v>
      </c>
      <c r="E5" s="14" t="n">
        <v>267.35</v>
      </c>
      <c r="F5" s="26" t="n">
        <v>18</v>
      </c>
      <c r="G5" s="26" t="n">
        <v>27</v>
      </c>
      <c r="H5" s="26" t="n">
        <v>17</v>
      </c>
      <c r="I5" s="26" t="n">
        <v>1</v>
      </c>
      <c r="J5" s="26" t="n">
        <v>0</v>
      </c>
      <c r="K5" s="32" t="n">
        <f>E5+F5+G5</f>
        <v>312.35</v>
      </c>
      <c r="L5" s="28"/>
      <c r="M5" s="37" t="n">
        <v>372.45</v>
      </c>
      <c r="N5" s="37" t="n">
        <v>116334.76</v>
      </c>
      <c r="O5" s="37" t="n">
        <v>2850</v>
      </c>
      <c r="P5" s="28"/>
      <c r="Q5" s="28"/>
      <c r="R5" s="25" t="n">
        <v>0</v>
      </c>
      <c r="S5" s="43" t="n">
        <v>1800</v>
      </c>
      <c r="T5" s="48" t="n">
        <f>N5+O5+R5-S5</f>
        <v>117384.76</v>
      </c>
      <c r="V5" s="54" t="str">
        <f>IF(D5&gt;T5,"X","")</f>
      </c>
      <c r="W5" s="56" t="n">
        <f>IF(SUM(N5+O5+R5-S5)&gt;D5,SUM(N5+O5+R5-S5),D5)</f>
        <v>117384.76</v>
      </c>
      <c r="Y5" s="59" t="n">
        <v>46.88</v>
      </c>
      <c r="Z5" s="59" t="n">
        <f>G5</f>
        <v>27</v>
      </c>
      <c r="AA5" s="61" t="n">
        <v>16.92</v>
      </c>
      <c r="AB5" s="61" t="n">
        <f>Y5+AA5-Z5</f>
        <v>36.8</v>
      </c>
      <c r="AC5" s="39"/>
      <c r="AD5" s="64" t="n">
        <f>(AB5*9)*M5</f>
        <v>123355.44</v>
      </c>
    </row>
    <row r="6">
      <c r="A6" t="s">
        <v>3</v>
      </c>
      <c r="B6" s="10"/>
      <c r="C6" s="14" t="e">
        <f>IF(EDATE(B6,6)&gt;$A$1,"X","")</f>
        <v>#NAME?</v>
      </c>
      <c r="D6" s="14" t="n">
        <v>22260</v>
      </c>
      <c r="E6" s="14" t="n">
        <v>1</v>
      </c>
      <c r="F6" s="26" t="n">
        <v>0</v>
      </c>
      <c r="G6" s="26" t="n">
        <v>0</v>
      </c>
      <c r="H6" s="26" t="n">
        <v>0</v>
      </c>
      <c r="I6" s="26" t="n">
        <v>0</v>
      </c>
      <c r="J6" s="26" t="n">
        <v>0</v>
      </c>
      <c r="K6" s="32" t="n">
        <f>E6+F6+G6</f>
        <v>1</v>
      </c>
      <c r="L6" s="28"/>
      <c r="M6" s="37" t="n">
        <v>22260</v>
      </c>
      <c r="N6" s="37" t="n">
        <v>22260</v>
      </c>
      <c r="O6" s="37" t="n">
        <v>0</v>
      </c>
      <c r="P6" s="28"/>
      <c r="Q6" s="28"/>
      <c r="R6" s="25" t="n">
        <v>0</v>
      </c>
      <c r="S6" s="26" t="n">
        <v>1800</v>
      </c>
      <c r="T6" s="48" t="n">
        <f>N6+O6+R6-S6</f>
        <v>20460</v>
      </c>
      <c r="V6" s="54" t="str">
        <f>IF(D6&gt;T6,"X","")</f>
        <v>X</v>
      </c>
      <c r="W6" s="56" t="n">
        <f>IF(SUM(N6+O6+R6-S6)&gt;D6,SUM(N6+O6+R6-S6),D6)</f>
        <v>22260</v>
      </c>
      <c r="Y6" s="59" t="n">
        <v>0</v>
      </c>
      <c r="Z6" s="59" t="n">
        <f>G6</f>
        <v>0</v>
      </c>
      <c r="AA6" s="61" t="n">
        <v>0</v>
      </c>
      <c r="AB6" s="61" t="n">
        <f>Y6+AA6-Z6</f>
        <v>0</v>
      </c>
      <c r="AC6" s="39"/>
      <c r="AD6" s="64" t="n">
        <f>(AB6*9)*M6</f>
        <v>0</v>
      </c>
    </row>
    <row r="7">
      <c r="A7" t="s">
        <v>4</v>
      </c>
      <c r="B7" s="11" t="n">
        <v>46037</v>
      </c>
      <c r="C7" s="14" t="e">
        <f>IF(EDATE(B7,6)&gt;$A$1,"X","")</f>
        <v>#NAME?</v>
      </c>
      <c r="D7" s="14" t="n">
        <v>38000</v>
      </c>
      <c r="E7" s="14" t="n">
        <v>180</v>
      </c>
      <c r="F7" s="25" t="n">
        <v>0</v>
      </c>
      <c r="G7" s="25" t="n">
        <v>0</v>
      </c>
      <c r="H7" s="25" t="n">
        <v>3</v>
      </c>
      <c r="I7" s="25" t="n">
        <v>0</v>
      </c>
      <c r="J7" s="25" t="n">
        <v>0</v>
      </c>
      <c r="K7" s="32" t="n">
        <f>E7+F7+G7</f>
        <v>180</v>
      </c>
      <c r="L7" s="34"/>
      <c r="M7" s="37" t="n">
        <v>194.87</v>
      </c>
      <c r="N7" s="37" t="n">
        <v>35076.6</v>
      </c>
      <c r="O7" s="37" t="n">
        <v>450</v>
      </c>
      <c r="P7" s="34"/>
      <c r="Q7" s="34"/>
      <c r="R7" s="25" t="n">
        <v>0</v>
      </c>
      <c r="S7" s="25" t="n">
        <v>0</v>
      </c>
      <c r="T7" s="49" t="n">
        <f>N7+O7+R7-S7</f>
        <v>35526.6</v>
      </c>
      <c r="V7" s="54" t="str">
        <f>IF(D7&gt;T7,"X","")</f>
        <v>X</v>
      </c>
      <c r="W7" s="56" t="n">
        <f>IF(SUM(N7+O7+R7-S7)&gt;D7,SUM(N7+O7+R7-S7),D7)</f>
        <v>38000</v>
      </c>
      <c r="Y7" s="45" t="n">
        <v>0</v>
      </c>
      <c r="Z7" s="45" t="n">
        <f>G7</f>
        <v>0</v>
      </c>
      <c r="AA7" s="56" t="n">
        <v>0</v>
      </c>
      <c r="AB7" s="56" t="n">
        <f>Y7+AA7-Z7</f>
        <v>0</v>
      </c>
      <c r="AC7"/>
      <c r="AD7" s="49" t="n">
        <f>(AB7*9)*M7</f>
        <v>0</v>
      </c>
    </row>
    <row r="8">
      <c r="A8" t="s">
        <v>5</v>
      </c>
      <c r="B8" s="11" t="n">
        <v>46113</v>
      </c>
      <c r="C8" s="14" t="e">
        <f>IF(EDATE(B8,6)&gt;$A$1,"X","")</f>
        <v>#NAME?</v>
      </c>
      <c r="D8" s="14" t="n">
        <v>50000</v>
      </c>
      <c r="E8" s="14" t="n">
        <v>132.49</v>
      </c>
      <c r="F8" s="25" t="n">
        <v>0</v>
      </c>
      <c r="G8" s="25" t="n">
        <v>0</v>
      </c>
      <c r="H8" s="25" t="n">
        <v>0</v>
      </c>
      <c r="I8" s="25" t="n">
        <v>0</v>
      </c>
      <c r="J8" s="25" t="n">
        <v>0</v>
      </c>
      <c r="K8" s="32" t="n">
        <f>E8+F8+G8</f>
        <v>132.49</v>
      </c>
      <c r="L8" s="34"/>
      <c r="M8" s="37" t="n">
        <v>256.41</v>
      </c>
      <c r="N8" s="37" t="n">
        <v>33971.76</v>
      </c>
      <c r="O8" s="37" t="n">
        <v>0</v>
      </c>
      <c r="P8" s="34"/>
      <c r="Q8" s="34"/>
      <c r="R8" s="25" t="n">
        <v>0</v>
      </c>
      <c r="S8" s="25" t="n">
        <v>0</v>
      </c>
      <c r="T8" s="49" t="n">
        <f>N8+O8+R8-S8</f>
        <v>33971.76</v>
      </c>
      <c r="V8" s="54" t="str">
        <f>IF(D8&gt;T8,"X","")</f>
        <v>X</v>
      </c>
      <c r="W8" s="56" t="n">
        <f>IF(SUM(N8+O8+R8-S8)&gt;D8,SUM(N8+O8+R8-S8),D8)</f>
        <v>50000</v>
      </c>
      <c r="Y8" s="45" t="n">
        <v>0</v>
      </c>
      <c r="Z8" s="45" t="n">
        <f>G8</f>
        <v>0</v>
      </c>
      <c r="AA8" s="56" t="n">
        <v>0</v>
      </c>
      <c r="AB8" s="56" t="n">
        <f>Y8+AA8-Z8</f>
        <v>0</v>
      </c>
      <c r="AC8"/>
      <c r="AD8" s="49" t="n">
        <f>(AB8*9)*M8</f>
        <v>0</v>
      </c>
    </row>
    <row r="9">
      <c r="A9" t="s">
        <v>6</v>
      </c>
      <c r="B9" s="11" t="n">
        <v>45764</v>
      </c>
      <c r="C9" s="14" t="e">
        <f>IF(EDATE(B9,6)&gt;$A$1,"X","")</f>
        <v>#NAME?</v>
      </c>
      <c r="D9" s="14" t="n">
        <v>37100</v>
      </c>
      <c r="E9" s="14" t="n">
        <v>0</v>
      </c>
      <c r="F9" s="25" t="n">
        <v>0</v>
      </c>
      <c r="G9" s="25" t="n">
        <v>0</v>
      </c>
      <c r="H9" s="25" t="n">
        <v>0</v>
      </c>
      <c r="I9" s="25" t="n">
        <v>0</v>
      </c>
      <c r="J9" s="25" t="n">
        <v>0</v>
      </c>
      <c r="K9" s="32" t="n">
        <f>E9+F9+G9</f>
        <v>0</v>
      </c>
      <c r="L9" s="34"/>
      <c r="M9" s="37" t="n">
        <v>190.26</v>
      </c>
      <c r="N9" s="37" t="n">
        <v>0</v>
      </c>
      <c r="O9" s="37" t="n">
        <v>0</v>
      </c>
      <c r="P9" s="34"/>
      <c r="Q9" s="34"/>
      <c r="R9" s="25" t="n">
        <v>0</v>
      </c>
      <c r="S9" s="25" t="n">
        <v>1800</v>
      </c>
      <c r="T9" s="49" t="n">
        <f>N9+O9+R9-S9</f>
        <v>-1800</v>
      </c>
      <c r="V9" s="54" t="str">
        <f>IF(D9&gt;T9,"X","")</f>
        <v>X</v>
      </c>
      <c r="W9" s="56" t="n">
        <f>IF(SUM(N9+O9+R9-S9)&gt;D9,SUM(N9+O9+R9-S9),D9)</f>
        <v>37100</v>
      </c>
      <c r="Y9" s="45" t="n">
        <v>32.11</v>
      </c>
      <c r="Z9" s="45" t="n">
        <f>G9</f>
        <v>0</v>
      </c>
      <c r="AA9" s="56" t="n">
        <v>2.53</v>
      </c>
      <c r="AB9" s="56" t="n">
        <f>Y9+AA9-Z9</f>
        <v>34.64</v>
      </c>
      <c r="AC9"/>
      <c r="AD9" s="49" t="n">
        <f>(AB9*9)*M9</f>
        <v>59315.4576</v>
      </c>
    </row>
    <row r="10">
      <c r="A10" t="s">
        <v>7</v>
      </c>
      <c r="B10" s="11" t="n">
        <v>43049</v>
      </c>
      <c r="C10" s="14" t="e">
        <f>IF(EDATE(B10,6)&gt;$A$1,"X","")</f>
        <v>#NAME?</v>
      </c>
      <c r="D10" s="14" t="n">
        <v>65430.75</v>
      </c>
      <c r="E10" s="14" t="n">
        <v>260.26</v>
      </c>
      <c r="F10" s="25" t="n">
        <v>0</v>
      </c>
      <c r="G10" s="25" t="n">
        <v>9</v>
      </c>
      <c r="H10" s="25" t="n">
        <v>0</v>
      </c>
      <c r="I10" s="25" t="n">
        <v>22</v>
      </c>
      <c r="J10" s="25" t="n">
        <v>0</v>
      </c>
      <c r="K10" s="32" t="n">
        <f>E10+F10+G10</f>
        <v>269.26</v>
      </c>
      <c r="L10" s="34"/>
      <c r="M10" s="37" t="n">
        <v>335.54</v>
      </c>
      <c r="N10" s="37" t="n">
        <v>90347.5</v>
      </c>
      <c r="O10" s="37" t="n">
        <v>6600</v>
      </c>
      <c r="P10" s="34"/>
      <c r="Q10" s="34"/>
      <c r="R10" s="25" t="n">
        <v>0</v>
      </c>
      <c r="S10" s="25" t="n">
        <v>1800</v>
      </c>
      <c r="T10" s="49" t="n">
        <f>N10+O10+R10-S10</f>
        <v>95147.5</v>
      </c>
      <c r="V10" s="54" t="str">
        <f>IF(D10&gt;T10,"X","")</f>
      </c>
      <c r="W10" s="56" t="n">
        <f>IF(SUM(N10+O10+R10-S10)&gt;D10,SUM(N10+O10+R10-S10),D10)</f>
        <v>95147.5</v>
      </c>
      <c r="Y10" s="45" t="n">
        <v>36.36</v>
      </c>
      <c r="Z10" s="45" t="n">
        <f>G10</f>
        <v>9</v>
      </c>
      <c r="AA10" s="56" t="n">
        <v>11</v>
      </c>
      <c r="AB10" s="56" t="n">
        <f>Y10+AA10-Z10</f>
        <v>38.36</v>
      </c>
      <c r="AC10"/>
      <c r="AD10" s="49" t="n">
        <f>(AB10*9)*M10</f>
        <v>115841.8296</v>
      </c>
    </row>
    <row r="11">
      <c r="A11" t="s">
        <v>8</v>
      </c>
      <c r="B11" s="12"/>
      <c r="C11" s="14" t="e">
        <f>IF(EDATE(B11,6)&gt;$A$1,"X","")</f>
        <v>#NAME?</v>
      </c>
      <c r="D11" s="14" t="n">
        <v>7014</v>
      </c>
      <c r="E11" s="14" t="n">
        <v>1</v>
      </c>
      <c r="F11" s="25" t="n">
        <v>0</v>
      </c>
      <c r="G11" s="25" t="n">
        <v>0</v>
      </c>
      <c r="H11" s="25" t="n">
        <v>0</v>
      </c>
      <c r="I11" s="25" t="n">
        <v>0</v>
      </c>
      <c r="J11" s="25" t="n">
        <v>0</v>
      </c>
      <c r="K11" s="32" t="n">
        <f>E11+F11+G11</f>
        <v>1</v>
      </c>
      <c r="L11" s="34"/>
      <c r="M11" s="37" t="n">
        <v>7014</v>
      </c>
      <c r="N11" s="37" t="n">
        <v>7014</v>
      </c>
      <c r="O11" s="37" t="n">
        <v>0</v>
      </c>
      <c r="P11" s="34"/>
      <c r="Q11" s="34"/>
      <c r="R11" s="25" t="n">
        <v>0</v>
      </c>
      <c r="S11" s="25" t="n">
        <v>0</v>
      </c>
      <c r="T11" s="49" t="n">
        <f>N11+O11+R11-S11</f>
        <v>7014</v>
      </c>
      <c r="V11" s="54" t="str">
        <f>IF(D11&gt;T11,"X","")</f>
      </c>
      <c r="W11" s="56" t="n">
        <f>IF(SUM(N11+O11+R11-S11)&gt;D11,SUM(N11+O11+R11-S11),D11)</f>
        <v>7014</v>
      </c>
      <c r="Y11" s="45" t="n">
        <v>0</v>
      </c>
      <c r="Z11" s="45" t="n">
        <f>G11</f>
        <v>0</v>
      </c>
      <c r="AA11" s="56" t="n">
        <v>0</v>
      </c>
      <c r="AB11" s="56" t="n">
        <f>Y11+AA11-Z11</f>
        <v>0</v>
      </c>
      <c r="AC11"/>
      <c r="AD11" s="49" t="n">
        <f>(AB11*9)*M11</f>
        <v>0</v>
      </c>
    </row>
    <row r="12">
      <c r="A12" t="s">
        <v>9</v>
      </c>
      <c r="B12" s="11" t="n">
        <v>45689</v>
      </c>
      <c r="C12" s="14" t="e">
        <f>IF(EDATE(B12,6)&gt;$A$1,"X","")</f>
        <v>#NAME?</v>
      </c>
      <c r="D12" s="14" t="n">
        <v>165000</v>
      </c>
      <c r="E12" s="14" t="n">
        <v>48.99</v>
      </c>
      <c r="F12" s="25" t="n">
        <v>0</v>
      </c>
      <c r="G12" s="25" t="n">
        <v>0</v>
      </c>
      <c r="H12" s="25" t="n">
        <v>6</v>
      </c>
      <c r="I12" s="25" t="n">
        <v>0</v>
      </c>
      <c r="J12" s="25" t="n">
        <v>0</v>
      </c>
      <c r="K12" s="32" t="n">
        <f>E12+F12+G12</f>
        <v>48.99</v>
      </c>
      <c r="L12" s="34"/>
      <c r="M12" s="37" t="n">
        <v>846.15</v>
      </c>
      <c r="N12" s="37" t="n">
        <v>56683.59</v>
      </c>
      <c r="O12" s="37" t="n">
        <v>900</v>
      </c>
      <c r="P12" s="34"/>
      <c r="Q12" s="34"/>
      <c r="R12" s="25" t="n">
        <v>0</v>
      </c>
      <c r="S12" s="25" t="n">
        <v>11800</v>
      </c>
      <c r="T12" s="49" t="n">
        <f>N12+O12+R12-S12</f>
        <v>45783.59</v>
      </c>
      <c r="V12" s="54" t="str">
        <f>IF(D12&gt;T12,"X","")</f>
        <v>X</v>
      </c>
      <c r="W12" s="56" t="n">
        <f>IF(SUM(N12+O12+R12-S12)&gt;D12,SUM(N12+O12+R12-S12),D12)</f>
        <v>165000</v>
      </c>
      <c r="Y12" s="45" t="n">
        <v>88.51</v>
      </c>
      <c r="Z12" s="45" t="n">
        <f>G12</f>
        <v>0</v>
      </c>
      <c r="AA12" s="56" t="n">
        <v>11.08</v>
      </c>
      <c r="AB12" s="56" t="n">
        <f>Y12+AA12-Z12</f>
        <v>99.59</v>
      </c>
      <c r="AC12"/>
      <c r="AD12" s="49" t="n">
        <f>(AB12*9)*M12</f>
        <v>758412.7065</v>
      </c>
    </row>
    <row r="13">
      <c r="A13" t="s">
        <v>10</v>
      </c>
      <c r="B13" s="11" t="n">
        <v>45866</v>
      </c>
      <c r="C13" s="14" t="e">
        <f>IF(EDATE(B13,6)&gt;$A$1,"X","")</f>
        <v>#NAME?</v>
      </c>
      <c r="D13" s="14" t="n">
        <v>25000</v>
      </c>
      <c r="E13" s="14" t="n">
        <v>273.97</v>
      </c>
      <c r="F13" s="25" t="n">
        <v>0</v>
      </c>
      <c r="G13" s="25" t="n">
        <v>0</v>
      </c>
      <c r="H13" s="25" t="n">
        <v>22</v>
      </c>
      <c r="I13" s="25" t="n">
        <v>0</v>
      </c>
      <c r="J13" s="25" t="n">
        <v>0</v>
      </c>
      <c r="K13" s="32" t="n">
        <f>E13+F13+G13</f>
        <v>273.97</v>
      </c>
      <c r="L13" s="34"/>
      <c r="M13" s="37" t="n">
        <v>128.21</v>
      </c>
      <c r="N13" s="37" t="n">
        <v>35125.69</v>
      </c>
      <c r="O13" s="37" t="n">
        <v>3300</v>
      </c>
      <c r="P13" s="34"/>
      <c r="Q13" s="34"/>
      <c r="R13" s="25" t="n">
        <v>0</v>
      </c>
      <c r="S13" s="25" t="n">
        <v>1800</v>
      </c>
      <c r="T13" s="49" t="n">
        <f>N13+O13+R13-S13</f>
        <v>36625.69</v>
      </c>
      <c r="V13" s="54" t="str">
        <f>IF(D13&gt;T13,"X","")</f>
      </c>
      <c r="W13" s="56" t="n">
        <f>IF(SUM(N13+O13+R13-S13)&gt;D13,SUM(N13+O13+R13-S13),D13)</f>
        <v>36625.69</v>
      </c>
      <c r="Y13" s="45" t="n">
        <v>11.78</v>
      </c>
      <c r="Z13" s="45" t="n">
        <f>G13</f>
        <v>0</v>
      </c>
      <c r="AA13" s="56" t="n">
        <v>14.04</v>
      </c>
      <c r="AB13" s="56" t="n">
        <f>Y13+AA13-Z13</f>
        <v>25.82</v>
      </c>
      <c r="AC13"/>
      <c r="AD13" s="49" t="n">
        <f>(AB13*9)*M13</f>
        <v>29793.4398</v>
      </c>
    </row>
    <row r="14">
      <c r="A14" t="s">
        <v>11</v>
      </c>
      <c r="B14" s="11" t="n">
        <v>44987</v>
      </c>
      <c r="C14" s="14" t="e">
        <f>IF(EDATE(B14,6)&gt;$A$1,"X","")</f>
        <v>#NAME?</v>
      </c>
      <c r="D14" s="14" t="n">
        <v>22896</v>
      </c>
      <c r="E14" s="14" t="n">
        <v>180</v>
      </c>
      <c r="F14" s="25" t="n">
        <v>0</v>
      </c>
      <c r="G14" s="25" t="n">
        <v>0</v>
      </c>
      <c r="H14" s="25" t="n">
        <v>20</v>
      </c>
      <c r="I14" s="25" t="n">
        <v>0</v>
      </c>
      <c r="J14" s="25" t="n">
        <v>0</v>
      </c>
      <c r="K14" s="32" t="n">
        <f>E14+F14+G14</f>
        <v>180</v>
      </c>
      <c r="L14" s="34"/>
      <c r="M14" s="37" t="n">
        <v>117.42</v>
      </c>
      <c r="N14" s="37" t="n">
        <v>21135.6</v>
      </c>
      <c r="O14" s="37" t="n">
        <v>3000</v>
      </c>
      <c r="P14" s="34"/>
      <c r="Q14" s="34"/>
      <c r="R14" s="25" t="n">
        <v>0</v>
      </c>
      <c r="S14" s="25" t="n">
        <v>1800</v>
      </c>
      <c r="T14" s="49" t="n">
        <f>N14+O14+R14-S14</f>
        <v>22335.6</v>
      </c>
      <c r="V14" s="54" t="str">
        <f>IF(D14&gt;T14,"X","")</f>
        <v>X</v>
      </c>
      <c r="W14" s="56" t="n">
        <f>IF(SUM(N14+O14+R14-S14)&gt;D14,SUM(N14+O14+R14-S14),D14)</f>
        <v>22896</v>
      </c>
      <c r="Y14" s="45" t="n">
        <v>52.8</v>
      </c>
      <c r="Z14" s="45" t="n">
        <f>G14</f>
        <v>0</v>
      </c>
      <c r="AA14" s="56" t="n">
        <v>10.63</v>
      </c>
      <c r="AB14" s="56" t="n">
        <f>Y14+AA14-Z14</f>
        <v>63.43</v>
      </c>
      <c r="AC14"/>
      <c r="AD14" s="49" t="n">
        <f>(AB14*9)*M14</f>
        <v>67031.5554</v>
      </c>
    </row>
    <row r="15">
      <c r="A15" t="s">
        <v>12</v>
      </c>
      <c r="B15" s="11" t="n">
        <v>45124</v>
      </c>
      <c r="C15" s="14" t="e">
        <f>IF(EDATE(B15,6)&gt;$A$1,"X","")</f>
        <v>#NAME?</v>
      </c>
      <c r="D15" s="14" t="n">
        <v>53955</v>
      </c>
      <c r="E15" s="14" t="n">
        <v>246.93</v>
      </c>
      <c r="F15" s="25" t="n">
        <v>9</v>
      </c>
      <c r="G15" s="25" t="n">
        <v>0</v>
      </c>
      <c r="H15" s="25" t="n">
        <v>1</v>
      </c>
      <c r="I15" s="25" t="n">
        <v>17</v>
      </c>
      <c r="J15" s="25" t="n">
        <v>0</v>
      </c>
      <c r="K15" s="32" t="n">
        <f>E15+F15+G15</f>
        <v>255.93</v>
      </c>
      <c r="L15" s="34"/>
      <c r="M15" s="37" t="n">
        <v>276.69</v>
      </c>
      <c r="N15" s="37" t="n">
        <v>70813.27</v>
      </c>
      <c r="O15" s="37" t="n">
        <v>5250</v>
      </c>
      <c r="P15" s="34"/>
      <c r="Q15" s="34"/>
      <c r="R15" s="25" t="n">
        <v>0</v>
      </c>
      <c r="S15" s="25" t="n">
        <v>1800</v>
      </c>
      <c r="T15" s="49" t="n">
        <f>N15+O15+R15-S15</f>
        <v>74263.27</v>
      </c>
      <c r="V15" s="54" t="str">
        <f>IF(D15&gt;T15,"X","")</f>
      </c>
      <c r="W15" s="56" t="n">
        <f>IF(SUM(N15+O15+R15-S15)&gt;D15,SUM(N15+O15+R15-S15),D15)</f>
        <v>74263.27</v>
      </c>
      <c r="Y15" s="45" t="n">
        <v>146.29</v>
      </c>
      <c r="Z15" s="45" t="n">
        <f>G15</f>
        <v>0</v>
      </c>
      <c r="AA15" s="56" t="n">
        <v>9.74</v>
      </c>
      <c r="AB15" s="56" t="n">
        <f>Y15+AA15-Z15</f>
        <v>156.03</v>
      </c>
      <c r="AC15"/>
      <c r="AD15" s="49" t="n">
        <f>(AB15*9)*M15</f>
        <v>388547.4663</v>
      </c>
    </row>
    <row r="16">
      <c r="A16" t="s">
        <v>13</v>
      </c>
      <c r="B16" s="11" t="n">
        <v>45145</v>
      </c>
      <c r="C16" s="14" t="e">
        <f>IF(EDATE(B16,6)&gt;$A$1,"X","")</f>
        <v>#NAME?</v>
      </c>
      <c r="D16" s="14" t="n">
        <v>50000</v>
      </c>
      <c r="E16" s="14" t="n">
        <v>272.81</v>
      </c>
      <c r="F16" s="25" t="n">
        <v>0</v>
      </c>
      <c r="G16" s="25" t="n">
        <v>0</v>
      </c>
      <c r="H16" s="25" t="n">
        <v>22</v>
      </c>
      <c r="I16" s="25" t="n">
        <v>0</v>
      </c>
      <c r="J16" s="25" t="n">
        <v>0</v>
      </c>
      <c r="K16" s="32" t="n">
        <f>E16+F16+G16</f>
        <v>272.81</v>
      </c>
      <c r="L16" s="34"/>
      <c r="M16" s="37" t="n">
        <v>256.41</v>
      </c>
      <c r="N16" s="37" t="n">
        <v>69951.21</v>
      </c>
      <c r="O16" s="37" t="n">
        <v>3300</v>
      </c>
      <c r="P16" s="34"/>
      <c r="Q16" s="34"/>
      <c r="R16" s="25" t="n">
        <v>0</v>
      </c>
      <c r="S16" s="25" t="n">
        <v>1800</v>
      </c>
      <c r="T16" s="49" t="n">
        <f>N16+O16+R16-S16</f>
        <v>71451.21</v>
      </c>
      <c r="V16" s="54" t="str">
        <f>IF(D16&gt;T16,"X","")</f>
      </c>
      <c r="W16" s="56" t="n">
        <f>IF(SUM(N16+O16+R16-S16)&gt;D16,SUM(N16+O16+R16-S16),D16)</f>
        <v>71451.21</v>
      </c>
      <c r="Y16" s="45" t="n">
        <v>278.19</v>
      </c>
      <c r="Z16" s="45" t="n">
        <f>G16</f>
        <v>0</v>
      </c>
      <c r="AA16" s="56" t="n">
        <v>15.46</v>
      </c>
      <c r="AB16" s="56" t="n">
        <f>Y16+AA16-Z16</f>
        <v>293.65</v>
      </c>
      <c r="AC16"/>
      <c r="AD16" s="49" t="n">
        <f>(AB16*9)*M16</f>
        <v>677653.1685</v>
      </c>
    </row>
    <row r="17">
      <c r="A17" t="s">
        <v>14</v>
      </c>
      <c r="B17" s="11" t="n">
        <v>44691</v>
      </c>
      <c r="C17" s="14" t="e">
        <f>IF(EDATE(B17,6)&gt;$A$1,"X","")</f>
        <v>#NAME?</v>
      </c>
      <c r="D17" s="14" t="n">
        <v>38585.48</v>
      </c>
      <c r="E17" s="14" t="n">
        <v>162.97</v>
      </c>
      <c r="F17" s="25" t="n">
        <v>9</v>
      </c>
      <c r="G17" s="25" t="n">
        <v>9</v>
      </c>
      <c r="H17" s="25" t="n">
        <v>0</v>
      </c>
      <c r="I17" s="25" t="n">
        <v>18</v>
      </c>
      <c r="J17" s="25" t="n">
        <v>0</v>
      </c>
      <c r="K17" s="32" t="n">
        <f>E17+F17+G17</f>
        <v>180.97</v>
      </c>
      <c r="L17" s="34"/>
      <c r="M17" s="37" t="n">
        <v>197.87</v>
      </c>
      <c r="N17" s="37" t="n">
        <v>39370.19</v>
      </c>
      <c r="O17" s="37" t="n">
        <v>5400</v>
      </c>
      <c r="P17" s="34"/>
      <c r="Q17" s="34"/>
      <c r="R17" s="25" t="n">
        <v>0</v>
      </c>
      <c r="S17" s="25" t="n">
        <v>1800</v>
      </c>
      <c r="T17" s="49" t="n">
        <f>N17+O17+R17-S17</f>
        <v>42970.19</v>
      </c>
      <c r="V17" s="54" t="str">
        <f>IF(D17&gt;T17,"X","")</f>
      </c>
      <c r="W17" s="56" t="n">
        <f>IF(SUM(N17+O17+R17-S17)&gt;D17,SUM(N17+O17+R17-S17),D17)</f>
        <v>42970.19</v>
      </c>
      <c r="Y17" s="45" t="n">
        <v>88.99</v>
      </c>
      <c r="Z17" s="45" t="n">
        <f>G17</f>
        <v>9</v>
      </c>
      <c r="AA17" s="56" t="n">
        <v>9.68</v>
      </c>
      <c r="AB17" s="56" t="n">
        <f>Y17+AA17-Z17</f>
        <v>89.67</v>
      </c>
      <c r="AC17"/>
      <c r="AD17" s="49" t="n">
        <f>(AB17*9)*M17</f>
        <v>159687.0261</v>
      </c>
    </row>
    <row r="18">
      <c r="A18" t="s">
        <v>15</v>
      </c>
      <c r="B18" s="11" t="n">
        <v>46055</v>
      </c>
      <c r="C18" s="14" t="e">
        <f>IF(EDATE(B18,6)&gt;$A$1,"X","")</f>
        <v>#NAME?</v>
      </c>
      <c r="D18" s="14" t="n">
        <v>42500</v>
      </c>
      <c r="E18" s="14" t="n">
        <v>180</v>
      </c>
      <c r="F18" s="25" t="n">
        <v>0</v>
      </c>
      <c r="G18" s="25" t="n">
        <v>0</v>
      </c>
      <c r="H18" s="25" t="n">
        <v>20</v>
      </c>
      <c r="I18" s="25" t="n">
        <v>0</v>
      </c>
      <c r="J18" s="25" t="n">
        <v>0</v>
      </c>
      <c r="K18" s="32" t="n">
        <f>E18+F18+G18</f>
        <v>180</v>
      </c>
      <c r="L18" s="34"/>
      <c r="M18" s="37" t="n">
        <v>217.95</v>
      </c>
      <c r="N18" s="37" t="n">
        <v>39231</v>
      </c>
      <c r="O18" s="37" t="n">
        <v>3000</v>
      </c>
      <c r="P18" s="34"/>
      <c r="Q18" s="34"/>
      <c r="R18" s="25" t="n">
        <v>0</v>
      </c>
      <c r="S18" s="25" t="n">
        <v>0</v>
      </c>
      <c r="T18" s="49" t="n">
        <f>N18+O18+R18-S18</f>
        <v>42231</v>
      </c>
      <c r="V18" s="54" t="str">
        <f>IF(D18&gt;T18,"X","")</f>
        <v>X</v>
      </c>
      <c r="W18" s="56" t="n">
        <f>IF(SUM(N18+O18+R18-S18)&gt;D18,SUM(N18+O18+R18-S18),D18)</f>
        <v>42500</v>
      </c>
      <c r="Y18" s="45" t="n">
        <v>0</v>
      </c>
      <c r="Z18" s="45" t="n">
        <f>G18</f>
        <v>0</v>
      </c>
      <c r="AA18" s="56" t="n">
        <v>0</v>
      </c>
      <c r="AB18" s="56" t="n">
        <f>Y18+AA18-Z18</f>
        <v>0</v>
      </c>
      <c r="AC18"/>
      <c r="AD18" s="49" t="n">
        <f>(AB18*9)*M18</f>
        <v>0</v>
      </c>
    </row>
    <row r="19">
      <c r="A19" t="s">
        <v>16</v>
      </c>
      <c r="B19" s="11" t="n">
        <v>44734</v>
      </c>
      <c r="C19" s="14" t="e">
        <f>IF(EDATE(B19,6)&gt;$A$1,"X","")</f>
        <v>#NAME?</v>
      </c>
      <c r="D19" s="14" t="n">
        <v>55489.6</v>
      </c>
      <c r="E19" s="14" t="n">
        <v>199.71</v>
      </c>
      <c r="F19" s="25" t="n">
        <v>0</v>
      </c>
      <c r="G19" s="25" t="n">
        <v>0</v>
      </c>
      <c r="H19" s="25" t="n">
        <v>16</v>
      </c>
      <c r="I19" s="25" t="n">
        <v>1</v>
      </c>
      <c r="J19" s="25" t="n">
        <v>0</v>
      </c>
      <c r="K19" s="32" t="n">
        <f>E19+F19+G19</f>
        <v>199.71</v>
      </c>
      <c r="L19" s="34"/>
      <c r="M19" s="37" t="n">
        <v>284.56</v>
      </c>
      <c r="N19" s="37" t="n">
        <v>59390.52</v>
      </c>
      <c r="O19" s="37" t="n">
        <v>2700</v>
      </c>
      <c r="P19" s="34"/>
      <c r="Q19" s="34"/>
      <c r="R19" s="25" t="n">
        <v>0</v>
      </c>
      <c r="S19" s="25" t="n">
        <v>1800</v>
      </c>
      <c r="T19" s="49" t="n">
        <f>N19+O19+R19-S19</f>
        <v>60290.52</v>
      </c>
      <c r="V19" s="54" t="str">
        <f>IF(D19&gt;T19,"X","")</f>
      </c>
      <c r="W19" s="56" t="n">
        <f>IF(SUM(N19+O19+R19-S19)&gt;D19,SUM(N19+O19+R19-S19),D19)</f>
        <v>60290.52</v>
      </c>
      <c r="Y19" s="45" t="n">
        <v>140.84</v>
      </c>
      <c r="Z19" s="45" t="n">
        <f>G19</f>
        <v>0</v>
      </c>
      <c r="AA19" s="56" t="n">
        <v>13.33</v>
      </c>
      <c r="AB19" s="56" t="n">
        <f>Y19+AA19-Z19</f>
        <v>154.17</v>
      </c>
      <c r="AC19"/>
      <c r="AD19" s="49" t="n">
        <f>(AB19*9)*M19</f>
        <v>394835.5368</v>
      </c>
    </row>
    <row r="20">
      <c r="A20" t="s">
        <v>17</v>
      </c>
      <c r="B20" s="11" t="n">
        <v>45544</v>
      </c>
      <c r="C20" s="14" t="e">
        <f>IF(EDATE(B20,6)&gt;$A$1,"X","")</f>
        <v>#NAME?</v>
      </c>
      <c r="D20" s="14" t="n">
        <v>60500</v>
      </c>
      <c r="E20" s="14" t="n">
        <v>227.08</v>
      </c>
      <c r="F20" s="25" t="n">
        <v>0</v>
      </c>
      <c r="G20" s="25" t="n">
        <v>0</v>
      </c>
      <c r="H20" s="25" t="n">
        <v>8</v>
      </c>
      <c r="I20" s="25" t="n">
        <v>0</v>
      </c>
      <c r="J20" s="25" t="n">
        <v>0</v>
      </c>
      <c r="K20" s="32" t="n">
        <f>E20+F20+G20</f>
        <v>227.08</v>
      </c>
      <c r="L20" s="34"/>
      <c r="M20" s="37" t="n">
        <v>310.26</v>
      </c>
      <c r="N20" s="37" t="n">
        <v>70453.84</v>
      </c>
      <c r="O20" s="37" t="n">
        <v>1200</v>
      </c>
      <c r="P20" s="34"/>
      <c r="Q20" s="34"/>
      <c r="R20" s="25" t="n">
        <v>0</v>
      </c>
      <c r="S20" s="25" t="n">
        <v>1800</v>
      </c>
      <c r="T20" s="49" t="n">
        <f>N20+O20+R20-S20</f>
        <v>69853.84</v>
      </c>
      <c r="V20" s="54" t="str">
        <f>IF(D20&gt;T20,"X","")</f>
      </c>
      <c r="W20" s="56" t="n">
        <f>IF(SUM(N20+O20+R20-S20)&gt;D20,SUM(N20+O20+R20-S20),D20)</f>
        <v>69853.84</v>
      </c>
      <c r="Y20" s="45" t="n">
        <v>68.31</v>
      </c>
      <c r="Z20" s="45" t="n">
        <f>G20</f>
        <v>0</v>
      </c>
      <c r="AA20" s="56" t="n">
        <v>11.76</v>
      </c>
      <c r="AB20" s="56" t="n">
        <f>Y20+AA20-Z20</f>
        <v>80.07</v>
      </c>
      <c r="AC20"/>
      <c r="AD20" s="49" t="n">
        <f>(AB20*9)*M20</f>
        <v>223582.6638</v>
      </c>
    </row>
    <row r="21">
      <c r="A21" t="s">
        <v>18</v>
      </c>
      <c r="B21" s="11" t="n">
        <v>44774</v>
      </c>
      <c r="C21" s="14" t="e">
        <f>IF(EDATE(B21,6)&gt;$A$1,"X","")</f>
        <v>#NAME?</v>
      </c>
      <c r="D21" s="14" t="n">
        <v>39873.38</v>
      </c>
      <c r="E21" s="14" t="n">
        <v>209.73</v>
      </c>
      <c r="F21" s="25" t="n">
        <v>0</v>
      </c>
      <c r="G21" s="25" t="n">
        <v>0</v>
      </c>
      <c r="H21" s="25" t="n">
        <v>1</v>
      </c>
      <c r="I21" s="25" t="n">
        <v>22</v>
      </c>
      <c r="J21" s="25" t="n">
        <v>0</v>
      </c>
      <c r="K21" s="32" t="n">
        <f>E21+F21+G21</f>
        <v>209.73</v>
      </c>
      <c r="L21" s="34"/>
      <c r="M21" s="37" t="n">
        <v>204.48</v>
      </c>
      <c r="N21" s="37" t="n">
        <v>42885.59</v>
      </c>
      <c r="O21" s="37" t="n">
        <v>6750</v>
      </c>
      <c r="P21" s="34"/>
      <c r="Q21" s="34"/>
      <c r="R21" s="25" t="n">
        <v>0</v>
      </c>
      <c r="S21" s="25" t="n">
        <v>1800</v>
      </c>
      <c r="T21" s="49" t="n">
        <f>N21+O21+R21-S21</f>
        <v>47835.59</v>
      </c>
      <c r="V21" s="54" t="str">
        <f>IF(D21&gt;T21,"X","")</f>
      </c>
      <c r="W21" s="56" t="n">
        <f>IF(SUM(N21+O21+R21-S21)&gt;D21,SUM(N21+O21+R21-S21),D21)</f>
        <v>47835.59</v>
      </c>
      <c r="Y21" s="45" t="n">
        <v>100.71</v>
      </c>
      <c r="Z21" s="45" t="n">
        <f>G21</f>
        <v>0</v>
      </c>
      <c r="AA21" s="56" t="n">
        <v>10.18</v>
      </c>
      <c r="AB21" s="56" t="n">
        <f>Y21+AA21-Z21</f>
        <v>110.89</v>
      </c>
      <c r="AC21"/>
      <c r="AD21" s="49" t="n">
        <f>(AB21*9)*M21</f>
        <v>204073.0848</v>
      </c>
    </row>
    <row r="22">
      <c r="A22" t="s">
        <v>19</v>
      </c>
      <c r="B22" s="11" t="n">
        <v>40091</v>
      </c>
      <c r="C22" s="14" t="e">
        <f>IF(EDATE(B22,6)&gt;$A$1,"X","")</f>
        <v>#NAME?</v>
      </c>
      <c r="D22" s="14" t="n">
        <v>27360.84</v>
      </c>
      <c r="E22" s="14" t="n">
        <v>202.3</v>
      </c>
      <c r="F22" s="25" t="n">
        <v>0</v>
      </c>
      <c r="G22" s="25" t="n">
        <v>0</v>
      </c>
      <c r="H22" s="25" t="n">
        <v>1</v>
      </c>
      <c r="I22" s="25" t="n">
        <v>0</v>
      </c>
      <c r="J22" s="25" t="n">
        <v>0</v>
      </c>
      <c r="K22" s="32" t="n">
        <f>E22+F22+G22</f>
        <v>202.3</v>
      </c>
      <c r="L22" s="34"/>
      <c r="M22" s="37" t="n">
        <v>148.57</v>
      </c>
      <c r="N22" s="37" t="n">
        <v>30055.71</v>
      </c>
      <c r="O22" s="37" t="n">
        <v>150</v>
      </c>
      <c r="P22" s="34"/>
      <c r="Q22" s="34"/>
      <c r="R22" s="25" t="n">
        <v>0</v>
      </c>
      <c r="S22" s="25" t="n">
        <v>1800</v>
      </c>
      <c r="T22" s="49" t="n">
        <f>N22+O22+R22-S22</f>
        <v>28405.71</v>
      </c>
      <c r="V22" s="54" t="str">
        <f>IF(D22&gt;T22,"X","")</f>
      </c>
      <c r="W22" s="56" t="n">
        <f>IF(SUM(N22+O22+R22-S22)&gt;D22,SUM(N22+O22+R22-S22),D22)</f>
        <v>28405.71</v>
      </c>
      <c r="Y22" s="45" t="n">
        <v>43.43</v>
      </c>
      <c r="Z22" s="45" t="n">
        <f>G22</f>
        <v>0</v>
      </c>
      <c r="AA22" s="56" t="n">
        <v>7.9</v>
      </c>
      <c r="AB22" s="56" t="n">
        <f>Y22+AA22-Z22</f>
        <v>51.33</v>
      </c>
      <c r="AC22"/>
      <c r="AD22" s="49" t="n">
        <f>(AB22*9)*M22</f>
        <v>68634.8829</v>
      </c>
    </row>
    <row r="23">
      <c r="A23" t="s">
        <v>19</v>
      </c>
      <c r="B23" s="12"/>
      <c r="C23" s="14" t="e">
        <f>IF(EDATE(B23,6)&gt;$A$1,"X","")</f>
        <v>#NAME?</v>
      </c>
      <c r="D23" s="14" t="n">
        <v>21000</v>
      </c>
      <c r="E23" s="14" t="n">
        <v>1</v>
      </c>
      <c r="F23" s="25" t="n">
        <v>0</v>
      </c>
      <c r="G23" s="25" t="n">
        <v>0</v>
      </c>
      <c r="H23" s="25" t="n">
        <v>0</v>
      </c>
      <c r="I23" s="25" t="n">
        <v>0</v>
      </c>
      <c r="J23" s="25" t="n">
        <v>0</v>
      </c>
      <c r="K23" s="32" t="n">
        <f>E23+F23+G23</f>
        <v>1</v>
      </c>
      <c r="L23" s="34"/>
      <c r="M23" s="37" t="n">
        <v>21000</v>
      </c>
      <c r="N23" s="37" t="n">
        <v>21000</v>
      </c>
      <c r="O23" s="37" t="n">
        <v>0</v>
      </c>
      <c r="P23" s="34"/>
      <c r="Q23" s="34"/>
      <c r="R23" s="25" t="n">
        <v>0</v>
      </c>
      <c r="S23" s="25" t="n">
        <v>0</v>
      </c>
      <c r="T23" s="49" t="n">
        <f>N23+O23+R23-S23</f>
        <v>21000</v>
      </c>
      <c r="V23" s="54" t="str">
        <f>IF(D23&gt;T23,"X","")</f>
      </c>
      <c r="W23" s="56" t="n">
        <f>IF(SUM(N23+O23+R23-S23)&gt;D23,SUM(N23+O23+R23-S23),D23)</f>
        <v>21000</v>
      </c>
      <c r="Y23" s="45" t="n">
        <v>0</v>
      </c>
      <c r="Z23" s="45" t="n">
        <f>G23</f>
        <v>0</v>
      </c>
      <c r="AA23" s="56" t="n">
        <v>0</v>
      </c>
      <c r="AB23" s="56" t="n">
        <f>Y23+AA23-Z23</f>
        <v>0</v>
      </c>
      <c r="AC23"/>
      <c r="AD23" s="49" t="n">
        <f>(AB23*9)*M23</f>
        <v>0</v>
      </c>
    </row>
    <row r="24">
      <c r="A24" t="s">
        <v>20</v>
      </c>
      <c r="B24" s="10" t="n">
        <v>45962</v>
      </c>
      <c r="C24" s="14" t="e">
        <f>IF(EDATE(B24,6)&gt;$A$1,"X","")</f>
        <v>#NAME?</v>
      </c>
      <c r="D24" s="14" t="n">
        <v>125000</v>
      </c>
      <c r="E24" s="14" t="n">
        <v>251.42</v>
      </c>
      <c r="F24" s="26" t="n">
        <v>0</v>
      </c>
      <c r="G24" s="26" t="n">
        <v>0</v>
      </c>
      <c r="H24" s="26" t="n">
        <v>22</v>
      </c>
      <c r="I24" s="26" t="n">
        <v>0</v>
      </c>
      <c r="J24" s="26" t="n">
        <v>4</v>
      </c>
      <c r="K24" s="32" t="n">
        <f>E24+F24+G24</f>
        <v>251.42</v>
      </c>
      <c r="L24" s="28"/>
      <c r="M24" s="37" t="n">
        <v>641.03</v>
      </c>
      <c r="N24" s="37" t="n">
        <v>161167.76</v>
      </c>
      <c r="O24" s="37" t="n">
        <v>3300</v>
      </c>
      <c r="P24" s="28"/>
      <c r="Q24" s="28"/>
      <c r="R24" s="25" t="n">
        <v>0</v>
      </c>
      <c r="S24" s="26" t="n">
        <v>5000</v>
      </c>
      <c r="T24" s="48" t="n">
        <f>N24+O24+R24-S24</f>
        <v>159467.76</v>
      </c>
      <c r="V24" s="54" t="str">
        <f>IF(D24&gt;T24,"X","")</f>
      </c>
      <c r="W24" s="56" t="n">
        <f>IF(SUM(N24+O24+R24-S24)&gt;D24,SUM(N24+O24+R24-S24),D24)</f>
        <v>159467.76</v>
      </c>
      <c r="Y24" s="59" t="n">
        <v>0</v>
      </c>
      <c r="Z24" s="59" t="n">
        <f>G24</f>
        <v>0</v>
      </c>
      <c r="AA24" s="61" t="n">
        <v>0</v>
      </c>
      <c r="AB24" s="61" t="n">
        <f>Y24+AA24-Z24</f>
        <v>0</v>
      </c>
      <c r="AC24" s="39"/>
      <c r="AD24" s="64" t="n">
        <f>(AB24*9)*M24</f>
        <v>0</v>
      </c>
    </row>
    <row r="25">
      <c r="A25" t="s">
        <v>21</v>
      </c>
      <c r="B25" s="10" t="n">
        <v>45817</v>
      </c>
      <c r="C25" s="14" t="e">
        <f>IF(EDATE(B25,6)&gt;$A$1,"X","")</f>
        <v>#NAME?</v>
      </c>
      <c r="D25" s="14" t="n">
        <v>40000</v>
      </c>
      <c r="E25" s="14" t="n">
        <v>180.48</v>
      </c>
      <c r="F25" s="26" t="n">
        <v>0</v>
      </c>
      <c r="G25" s="26" t="n">
        <v>0</v>
      </c>
      <c r="H25" s="26" t="n">
        <v>0</v>
      </c>
      <c r="I25" s="26" t="n">
        <v>20</v>
      </c>
      <c r="J25" s="26" t="n">
        <v>9</v>
      </c>
      <c r="K25" s="32" t="n">
        <f>E25+F25+G25</f>
        <v>180.48</v>
      </c>
      <c r="L25" s="28"/>
      <c r="M25" s="37" t="n">
        <v>205.13</v>
      </c>
      <c r="N25" s="37" t="n">
        <v>38868.03</v>
      </c>
      <c r="O25" s="37" t="n">
        <v>6000</v>
      </c>
      <c r="P25" s="28"/>
      <c r="Q25" s="28"/>
      <c r="R25" s="25" t="n">
        <v>0</v>
      </c>
      <c r="S25" s="26" t="n">
        <v>1800</v>
      </c>
      <c r="T25" s="48" t="n">
        <f>N25+O25+R25-S25</f>
        <v>43068.03</v>
      </c>
      <c r="V25" s="54" t="str">
        <f>IF(D25&gt;T25,"X","")</f>
      </c>
      <c r="W25" s="56" t="n">
        <f>IF(SUM(N25+O25+R25-S25)&gt;D25,SUM(N25+O25+R25-S25),D25)</f>
        <v>43068.03</v>
      </c>
      <c r="Y25" s="59" t="n">
        <v>38.98</v>
      </c>
      <c r="Z25" s="59" t="n">
        <f>G25</f>
        <v>0</v>
      </c>
      <c r="AA25" s="61" t="n">
        <v>10.61</v>
      </c>
      <c r="AB25" s="61" t="n">
        <f>Y25+AA25-Z25</f>
        <v>49.59</v>
      </c>
      <c r="AC25" s="39"/>
      <c r="AD25" s="64" t="n">
        <f>(AB25*9)*M25</f>
        <v>91551.5703</v>
      </c>
    </row>
    <row r="26">
      <c r="A26" t="s">
        <v>22</v>
      </c>
      <c r="B26" s="10" t="n">
        <v>45047</v>
      </c>
      <c r="C26" s="14" t="e">
        <f>IF(EDATE(B26,6)&gt;$A$1,"X","")</f>
        <v>#NAME?</v>
      </c>
      <c r="D26" s="14" t="n">
        <v>44074.8</v>
      </c>
      <c r="E26" s="14" t="n">
        <v>208.28</v>
      </c>
      <c r="F26" s="26" t="n">
        <v>0</v>
      </c>
      <c r="G26" s="26" t="n">
        <v>9</v>
      </c>
      <c r="H26" s="26" t="n">
        <v>7</v>
      </c>
      <c r="I26" s="26" t="n">
        <v>1</v>
      </c>
      <c r="J26" s="26" t="n">
        <v>0</v>
      </c>
      <c r="K26" s="32" t="n">
        <f>E26+F26+G26</f>
        <v>217.28</v>
      </c>
      <c r="L26" s="28"/>
      <c r="M26" s="37" t="n">
        <v>226.02</v>
      </c>
      <c r="N26" s="37" t="n">
        <v>49109.63</v>
      </c>
      <c r="O26" s="37" t="n">
        <v>1350</v>
      </c>
      <c r="P26" s="28"/>
      <c r="Q26" s="28"/>
      <c r="R26" s="25" t="n">
        <v>0</v>
      </c>
      <c r="S26" s="43" t="n">
        <v>1800</v>
      </c>
      <c r="T26" s="48" t="n">
        <f>N26+O26+R26-S26</f>
        <v>48659.63</v>
      </c>
      <c r="V26" s="54" t="str">
        <f>IF(D26&gt;T26,"X","")</f>
      </c>
      <c r="W26" s="56" t="n">
        <f>IF(SUM(N26+O26+R26-S26)&gt;D26,SUM(N26+O26+R26-S26),D26)</f>
        <v>48659.63</v>
      </c>
      <c r="Y26" s="59" t="n">
        <v>56.57</v>
      </c>
      <c r="Z26" s="59" t="n">
        <f>G26</f>
        <v>9</v>
      </c>
      <c r="AA26" s="61" t="n">
        <v>9.08</v>
      </c>
      <c r="AB26" s="61" t="n">
        <f>Y26+AA26-Z26</f>
        <v>56.65</v>
      </c>
      <c r="AC26" s="39"/>
      <c r="AD26" s="64" t="n">
        <f>(AB26*9)*M26</f>
        <v>115236.297</v>
      </c>
    </row>
    <row r="27">
      <c r="A27" t="s">
        <v>23</v>
      </c>
      <c r="B27" s="10" t="n">
        <v>45870</v>
      </c>
      <c r="C27" s="14" t="e">
        <f>IF(EDATE(B27,6)&gt;$A$1,"X","")</f>
        <v>#NAME?</v>
      </c>
      <c r="D27" s="14" t="n">
        <v>27500</v>
      </c>
      <c r="E27" s="14" t="n">
        <v>233.84</v>
      </c>
      <c r="F27" s="26" t="n">
        <v>0</v>
      </c>
      <c r="G27" s="26" t="n">
        <v>0</v>
      </c>
      <c r="H27" s="26" t="n">
        <v>4</v>
      </c>
      <c r="I27" s="26" t="n">
        <v>0</v>
      </c>
      <c r="J27" s="26" t="n">
        <v>0</v>
      </c>
      <c r="K27" s="32" t="n">
        <f>E27+F27+G27</f>
        <v>233.84</v>
      </c>
      <c r="L27" s="28"/>
      <c r="M27" s="37" t="n">
        <v>141.03</v>
      </c>
      <c r="N27" s="37" t="n">
        <v>32978.46</v>
      </c>
      <c r="O27" s="37" t="n">
        <v>600</v>
      </c>
      <c r="P27" s="28"/>
      <c r="Q27" s="28"/>
      <c r="R27" s="25" t="n">
        <v>0</v>
      </c>
      <c r="S27" s="26" t="n">
        <v>1800</v>
      </c>
      <c r="T27" s="48" t="n">
        <f>N27+O27+R27-S27</f>
        <v>31778.46</v>
      </c>
      <c r="V27" s="54" t="str">
        <f>IF(D27&gt;T27,"X","")</f>
      </c>
      <c r="W27" s="56" t="n">
        <f>IF(SUM(N27+O27+R27-S27)&gt;D27,SUM(N27+O27+R27-S27),D27)</f>
        <v>31778.46</v>
      </c>
      <c r="Y27" s="59" t="n">
        <v>22.73</v>
      </c>
      <c r="Z27" s="59" t="n">
        <f>G27</f>
        <v>0</v>
      </c>
      <c r="AA27" s="61" t="n">
        <v>12.19</v>
      </c>
      <c r="AB27" s="61" t="n">
        <f>Y27+AA27-Z27</f>
        <v>34.92</v>
      </c>
      <c r="AC27" s="39"/>
      <c r="AD27" s="64" t="n">
        <f>(AB27*9)*M27</f>
        <v>44322.9084</v>
      </c>
    </row>
    <row r="28">
      <c r="A28" t="s">
        <v>24</v>
      </c>
      <c r="B28" s="10"/>
      <c r="C28" s="14" t="e">
        <f>IF(EDATE(B28,6)&gt;$A$1,"X","")</f>
        <v>#NAME?</v>
      </c>
      <c r="D28" s="14" t="n">
        <v>44661</v>
      </c>
      <c r="E28" s="14" t="n">
        <v>1</v>
      </c>
      <c r="F28" s="26" t="n">
        <v>0</v>
      </c>
      <c r="G28" s="26" t="n">
        <v>0</v>
      </c>
      <c r="H28" s="26" t="n">
        <v>0</v>
      </c>
      <c r="I28" s="26" t="n">
        <v>0</v>
      </c>
      <c r="J28" s="26" t="n">
        <v>0</v>
      </c>
      <c r="K28" s="32" t="n">
        <f>E28+F28+G28</f>
        <v>1</v>
      </c>
      <c r="L28" s="28"/>
      <c r="M28" s="37" t="n">
        <v>44661</v>
      </c>
      <c r="N28" s="37" t="n">
        <v>44661</v>
      </c>
      <c r="O28" s="37" t="n">
        <v>0</v>
      </c>
      <c r="P28" s="28"/>
      <c r="Q28" s="28"/>
      <c r="R28" s="42" t="n">
        <v>0</v>
      </c>
      <c r="S28" s="26" t="n">
        <v>0</v>
      </c>
      <c r="T28" s="48" t="n">
        <f>N28+O28+R28-S28</f>
        <v>44661</v>
      </c>
      <c r="V28" s="54" t="str">
        <f>IF(D28&gt;T28,"X","")</f>
      </c>
      <c r="W28" s="56" t="n">
        <f>IF(SUM(N28+O28+R28-S28)&gt;D28,SUM(N28+O28+R28-S28),D28)</f>
        <v>44661</v>
      </c>
      <c r="Y28" s="59" t="n">
        <v>0</v>
      </c>
      <c r="Z28" s="59" t="n">
        <f>G28</f>
        <v>0</v>
      </c>
      <c r="AA28" s="61" t="n">
        <v>0</v>
      </c>
      <c r="AB28" s="61" t="n">
        <f>Y28+AA28-Z28</f>
        <v>0</v>
      </c>
      <c r="AC28" s="39"/>
      <c r="AD28" s="64" t="n">
        <f>(AB28*9)*M28</f>
        <v>0</v>
      </c>
    </row>
    <row r="29">
      <c r="A29" t="s">
        <v>24</v>
      </c>
      <c r="B29" s="10"/>
      <c r="C29" s="14" t="e">
        <f>IF(EDATE(B29,6)&gt;$A$1,"X","")</f>
        <v>#NAME?</v>
      </c>
      <c r="D29" s="14" t="n">
        <v>125672</v>
      </c>
      <c r="E29" s="14" t="n">
        <v>1</v>
      </c>
      <c r="F29" s="26" t="n">
        <v>0</v>
      </c>
      <c r="G29" s="26" t="n">
        <v>0</v>
      </c>
      <c r="H29" s="26" t="n">
        <v>0</v>
      </c>
      <c r="I29" s="26" t="n">
        <v>0</v>
      </c>
      <c r="J29" s="26" t="n">
        <v>0</v>
      </c>
      <c r="K29" s="32" t="n">
        <f>E29+F29+G29</f>
        <v>1</v>
      </c>
      <c r="L29" s="28"/>
      <c r="M29" s="37" t="n">
        <v>125672</v>
      </c>
      <c r="N29" s="37" t="n">
        <v>125672</v>
      </c>
      <c r="O29" s="37" t="n">
        <v>0</v>
      </c>
      <c r="P29" s="28"/>
      <c r="Q29" s="28"/>
      <c r="R29" s="25" t="n">
        <v>0</v>
      </c>
      <c r="S29" s="43" t="n">
        <v>0</v>
      </c>
      <c r="T29" s="48" t="n">
        <f>N29+O29+R29-S29</f>
        <v>125672</v>
      </c>
      <c r="V29" s="54" t="str">
        <f>IF(D29&gt;T29,"X","")</f>
      </c>
      <c r="W29" s="56" t="n">
        <f>IF(SUM(N29+O29+R29-S29)&gt;D29,SUM(N29+O29+R29-S29),D29)</f>
        <v>125672</v>
      </c>
      <c r="Y29" s="59" t="n">
        <v>0</v>
      </c>
      <c r="Z29" s="59" t="n">
        <f>G29</f>
        <v>0</v>
      </c>
      <c r="AA29" s="61" t="n">
        <v>0</v>
      </c>
      <c r="AB29" s="61" t="n">
        <f>Y29+AA29-Z29</f>
        <v>0</v>
      </c>
      <c r="AC29" s="39"/>
      <c r="AD29" s="64" t="n">
        <f>(AB29*9)*M29</f>
        <v>0</v>
      </c>
    </row>
    <row r="30">
      <c r="A30" t="s">
        <v>25</v>
      </c>
      <c r="B30" s="10" t="n">
        <v>44713</v>
      </c>
      <c r="C30" s="14" t="e">
        <f>IF(EDATE(B30,6)&gt;$A$1,"X","")</f>
        <v>#NAME?</v>
      </c>
      <c r="D30" s="14" t="n">
        <v>47588.76</v>
      </c>
      <c r="E30" s="14" t="n">
        <v>181.5</v>
      </c>
      <c r="F30" s="26" t="n">
        <v>0</v>
      </c>
      <c r="G30" s="26" t="n">
        <v>0</v>
      </c>
      <c r="H30" s="26" t="n">
        <v>18</v>
      </c>
      <c r="I30" s="26" t="n">
        <v>0</v>
      </c>
      <c r="J30" s="26" t="n">
        <v>0</v>
      </c>
      <c r="K30" s="32" t="n">
        <f>E30+F30+G30</f>
        <v>181.5</v>
      </c>
      <c r="L30" s="28"/>
      <c r="M30" s="37" t="n">
        <v>244.04</v>
      </c>
      <c r="N30" s="37" t="n">
        <v>48685.98</v>
      </c>
      <c r="O30" s="37" t="n">
        <v>2700</v>
      </c>
      <c r="P30" s="28"/>
      <c r="Q30" s="28" t="n">
        <v>0</v>
      </c>
      <c r="R30" s="25" t="n">
        <v>0</v>
      </c>
      <c r="S30" s="26" t="n">
        <v>1800</v>
      </c>
      <c r="T30" s="48" t="n">
        <f>N30+O30+R30-S30</f>
        <v>49585.98</v>
      </c>
      <c r="V30" s="54" t="str">
        <f>IF(D30&gt;T30,"X","")</f>
      </c>
      <c r="W30" s="56" t="n">
        <f>IF(SUM(N30+O30+R30-S30)&gt;D30,SUM(N30+O30+R30-S30),D30)</f>
        <v>49585.98</v>
      </c>
      <c r="Y30" s="59" t="n">
        <v>7.4</v>
      </c>
      <c r="Z30" s="59" t="n">
        <f>G30</f>
        <v>0</v>
      </c>
      <c r="AA30" s="61" t="n">
        <v>9.11</v>
      </c>
      <c r="AB30" s="61" t="n">
        <f>Y30+AA30-Z30</f>
        <v>16.51</v>
      </c>
      <c r="AC30" s="39"/>
      <c r="AD30" s="64" t="n">
        <f>(AB30*9)*M30</f>
        <v>36261.9036</v>
      </c>
    </row>
    <row r="31">
      <c r="B31" s="10"/>
      <c r="C31" s="14" t="e">
        <f>IF(EDATE(B31,6)&gt;$A$18,"X","")</f>
        <v>#NAME?</v>
      </c>
      <c r="D31" s="14"/>
      <c r="E31" s="14"/>
      <c r="F31" s="26"/>
      <c r="G31" s="26"/>
      <c r="H31" s="26"/>
      <c r="I31" s="26"/>
      <c r="J31" s="26" t="n">
        <v>0</v>
      </c>
      <c r="K31" s="32" t="n">
        <f>E31+F31+G31</f>
        <v>0</v>
      </c>
      <c r="L31" s="28"/>
      <c r="M31" s="37"/>
      <c r="N31" s="37"/>
      <c r="O31" s="37"/>
      <c r="P31" s="28"/>
      <c r="Q31" s="28"/>
      <c r="R31" s="25"/>
      <c r="S31" s="26"/>
      <c r="T31" s="48" t="n">
        <f>N31+O31+R31-S31</f>
        <v>0</v>
      </c>
      <c r="V31" s="54" t="str">
        <f>IF(D31&gt;T31,"X","")</f>
      </c>
      <c r="W31" s="56" t="n">
        <f>IF(SUM(N31+O31+R31-S31)&gt;D31,SUM(N31+O31+R31-S31),D31)</f>
        <v>0</v>
      </c>
      <c r="Y31" s="59"/>
      <c r="Z31" s="59" t="n">
        <f>G31</f>
      </c>
      <c r="AA31" s="61"/>
      <c r="AB31" s="61" t="n">
        <f>Y31+AA31-Z31</f>
        <v>0</v>
      </c>
      <c r="AC31" s="39"/>
      <c r="AD31" s="64" t="n">
        <f>(AB31*9)*M31</f>
        <v>0</v>
      </c>
    </row>
    <row r="32">
      <c r="B32" s="10"/>
      <c r="C32" s="14" t="e">
        <f>IF(EDATE(B32,6)&gt;$A$18,"X","")</f>
        <v>#NAME?</v>
      </c>
      <c r="D32" s="14"/>
      <c r="E32" s="14"/>
      <c r="F32" s="26"/>
      <c r="G32" s="26"/>
      <c r="H32" s="26"/>
      <c r="I32" s="26"/>
      <c r="J32" s="26" t="n">
        <v>0</v>
      </c>
      <c r="K32" s="32" t="n">
        <f>E32+F32+G32</f>
        <v>0</v>
      </c>
      <c r="L32" s="28"/>
      <c r="M32" s="37"/>
      <c r="N32" s="37"/>
      <c r="O32" s="37"/>
      <c r="P32" s="28"/>
      <c r="Q32" s="28"/>
      <c r="R32" s="42"/>
      <c r="S32" s="43"/>
      <c r="T32" s="48" t="n">
        <f>N32+O32+R32-S32</f>
        <v>0</v>
      </c>
      <c r="V32" s="54" t="str">
        <f>IF(D32&gt;T32,"X","")</f>
      </c>
      <c r="W32" s="56" t="n">
        <f>IF(SUM(N32+O32+R32-S32)&gt;D32,SUM(N32+O32+R32-S32),D32)</f>
        <v>0</v>
      </c>
      <c r="Y32" s="59"/>
      <c r="Z32" s="59" t="n">
        <f>G32</f>
      </c>
      <c r="AA32" s="61"/>
      <c r="AB32" s="61" t="n">
        <f>Y32+AA32-Z32</f>
        <v>0</v>
      </c>
      <c r="AC32" s="39"/>
      <c r="AD32" s="64" t="n">
        <f>(AB32*9)*M32</f>
        <v>0</v>
      </c>
    </row>
    <row r="33">
      <c r="B33" s="10"/>
      <c r="C33" s="14" t="e">
        <f>IF(EDATE(B33,6)&gt;$A$18,"X","")</f>
        <v>#NAME?</v>
      </c>
      <c r="D33" s="14"/>
      <c r="E33" s="14"/>
      <c r="F33" s="26"/>
      <c r="G33" s="26"/>
      <c r="H33" s="26"/>
      <c r="I33" s="26"/>
      <c r="J33" s="26" t="n">
        <v>0</v>
      </c>
      <c r="K33" s="32" t="n">
        <f>E33+F33+G33</f>
        <v>0</v>
      </c>
      <c r="L33" s="28"/>
      <c r="M33" s="37"/>
      <c r="N33" s="37"/>
      <c r="O33" s="37"/>
      <c r="P33" s="28"/>
      <c r="Q33" s="28"/>
      <c r="R33" s="42"/>
      <c r="S33" s="43"/>
      <c r="T33" s="48" t="n">
        <f>N33+O33+R33-S33</f>
        <v>0</v>
      </c>
      <c r="V33" s="54" t="str">
        <f>IF(D33&gt;T33,"X","")</f>
      </c>
      <c r="W33" s="56" t="n">
        <f>IF(SUM(N33+O33+R33-S33)&gt;D33,SUM(N33+O33+R33-S33),D33)</f>
        <v>0</v>
      </c>
      <c r="Y33" s="59"/>
      <c r="Z33" s="59" t="n">
        <f>G33</f>
      </c>
      <c r="AA33" s="61"/>
      <c r="AB33" s="61" t="n">
        <f>Y33+AA33-Z33</f>
        <v>0</v>
      </c>
      <c r="AC33" s="39"/>
      <c r="AD33" s="64" t="n">
        <f>(AB33*9)*M33</f>
        <v>0</v>
      </c>
    </row>
    <row r="34">
      <c r="B34" s="10"/>
      <c r="C34" s="14" t="e">
        <f>IF(EDATE(B34,6)&gt;$A$18,"X","")</f>
        <v>#NAME?</v>
      </c>
      <c r="D34" s="14"/>
      <c r="E34" s="14"/>
      <c r="F34" s="26"/>
      <c r="G34" s="26"/>
      <c r="H34" s="26"/>
      <c r="I34" s="26"/>
      <c r="J34" s="26" t="n">
        <v>0</v>
      </c>
      <c r="K34" s="32" t="n">
        <f>E34+F34+G34</f>
        <v>0</v>
      </c>
      <c r="L34" s="28"/>
      <c r="M34" s="37"/>
      <c r="N34" s="37"/>
      <c r="O34" s="37"/>
      <c r="P34" s="28"/>
      <c r="Q34" s="28"/>
      <c r="R34" s="25"/>
      <c r="S34" s="26"/>
      <c r="T34" s="48" t="n">
        <f>N34+O34+R34-S34</f>
        <v>0</v>
      </c>
      <c r="V34" s="54" t="str">
        <f>IF(D34&gt;T34,"X","")</f>
      </c>
      <c r="W34" s="56" t="n">
        <f>IF(SUM(N34+O34+R34-S34)&gt;D34,SUM(N34+O34+R34-S34),D34)</f>
        <v>0</v>
      </c>
      <c r="Y34" s="59"/>
      <c r="Z34" s="59" t="n">
        <f>G34</f>
      </c>
      <c r="AA34" s="61"/>
      <c r="AB34" s="61" t="n">
        <f>Y34+AA34-Z34</f>
        <v>0</v>
      </c>
      <c r="AC34" s="39"/>
      <c r="AD34" s="64" t="n">
        <f>(AB34*9)*M34</f>
        <v>0</v>
      </c>
    </row>
    <row r="35">
      <c r="B35" s="10"/>
      <c r="C35" s="14" t="e">
        <f>IF(EDATE(B35,6)&gt;$A$18,"X","")</f>
        <v>#NAME?</v>
      </c>
      <c r="D35" s="14"/>
      <c r="E35" s="14"/>
      <c r="F35" s="26"/>
      <c r="G35" s="26"/>
      <c r="H35" s="26"/>
      <c r="I35" s="26"/>
      <c r="J35" s="26" t="n">
        <v>0</v>
      </c>
      <c r="K35" s="32" t="n">
        <f>E35+F35+G35</f>
        <v>0</v>
      </c>
      <c r="L35" s="28"/>
      <c r="M35" s="37"/>
      <c r="N35" s="37"/>
      <c r="O35" s="37"/>
      <c r="P35" s="28"/>
      <c r="Q35" s="28"/>
      <c r="R35" s="25"/>
      <c r="S35" s="26"/>
      <c r="T35" s="48" t="n">
        <f>N35+O35+R35-S35</f>
        <v>0</v>
      </c>
      <c r="V35" s="54" t="str">
        <f>IF(D35&gt;T35,"X","")</f>
      </c>
      <c r="W35" s="56" t="n">
        <f>IF(SUM(N35+O35+R35-S35)&gt;D35,SUM(N35+O35+R35-S35),D35)</f>
        <v>0</v>
      </c>
      <c r="Y35" s="59"/>
      <c r="Z35" s="59" t="n">
        <f>G35</f>
      </c>
      <c r="AA35" s="61"/>
      <c r="AB35" s="61" t="n">
        <f>Y35+AA35-Z35</f>
        <v>0</v>
      </c>
      <c r="AD35" s="64" t="n">
        <f>(AB35*9)*M35</f>
        <v>0</v>
      </c>
    </row>
    <row r="36">
      <c r="B36" s="9"/>
      <c r="C36" s="14" t="e">
        <f>IF(EDATE(B36,6)&gt;$A$18,"X","")</f>
        <v>#NAME?</v>
      </c>
      <c r="D36" s="14"/>
      <c r="E36" s="14"/>
      <c r="F36" s="26"/>
      <c r="G36" s="26"/>
      <c r="H36" s="26"/>
      <c r="I36" s="26"/>
      <c r="J36" s="26" t="n">
        <v>0</v>
      </c>
      <c r="K36" s="32" t="n">
        <f>E36+F36+G36</f>
        <v>0</v>
      </c>
      <c r="L36" s="28"/>
      <c r="M36" s="37"/>
      <c r="N36" s="37"/>
      <c r="O36" s="37"/>
      <c r="P36" s="28"/>
      <c r="Q36" s="28"/>
      <c r="R36" s="25"/>
      <c r="S36" s="43"/>
      <c r="T36" s="48" t="n">
        <f>N36+O36+R36-S36</f>
        <v>0</v>
      </c>
      <c r="V36" s="54" t="str">
        <f>IF(D36&gt;T36,"X","")</f>
      </c>
      <c r="W36" s="56" t="n">
        <f>IF(SUM(N36+O36+R36-S36)&gt;D36,SUM(N36+O36+R36-S36),D36)</f>
        <v>0</v>
      </c>
      <c r="Y36" s="45"/>
      <c r="Z36" s="59" t="n">
        <f>G36</f>
      </c>
      <c r="AA36" s="61"/>
      <c r="AB36" s="61" t="n">
        <f>Y36+AA36-Z36</f>
        <v>0</v>
      </c>
      <c r="AD36" s="64" t="n">
        <f>(AB36*9)*M36</f>
        <v>0</v>
      </c>
    </row>
    <row r="37">
      <c r="B37" s="9"/>
      <c r="C37" s="14" t="e">
        <f>IF(EDATE(B37,6)&gt;$A$18,"X","")</f>
        <v>#NAME?</v>
      </c>
      <c r="D37" s="14"/>
      <c r="E37" s="14"/>
      <c r="F37" s="26"/>
      <c r="G37" s="26"/>
      <c r="H37" s="26"/>
      <c r="I37" s="26"/>
      <c r="J37" s="26" t="n">
        <v>0</v>
      </c>
      <c r="K37" s="32" t="n">
        <f>E37+F37+G37</f>
        <v>0</v>
      </c>
      <c r="L37" s="28"/>
      <c r="M37" s="37"/>
      <c r="N37" s="37"/>
      <c r="O37" s="37"/>
      <c r="P37" s="28"/>
      <c r="Q37" s="28"/>
      <c r="R37" s="25"/>
      <c r="S37" s="26"/>
      <c r="T37" s="48" t="n">
        <f>N37+O37+R37-S37</f>
        <v>0</v>
      </c>
      <c r="V37" s="54" t="str">
        <f>IF(D37&gt;T37,"X","")</f>
      </c>
      <c r="W37" s="56" t="n">
        <f>IF(SUM(N37+O37+R37-S37)&gt;D37,SUM(N37+O37+R37-S37),D37)</f>
        <v>0</v>
      </c>
      <c r="Y37" s="45"/>
      <c r="Z37" s="59" t="n">
        <f>G37</f>
      </c>
      <c r="AA37" s="61"/>
      <c r="AB37" s="61" t="n">
        <f>Y37+AA37-Z37</f>
        <v>0</v>
      </c>
      <c r="AD37" s="64" t="n">
        <f>(AB37*9)*M37</f>
        <v>0</v>
      </c>
    </row>
    <row r="38">
      <c r="B38" s="9"/>
      <c r="C38" s="14" t="e">
        <f>IF(EDATE(B38,6)&gt;$A$18,"X","")</f>
        <v>#NAME?</v>
      </c>
      <c r="D38" s="14"/>
      <c r="E38" s="14"/>
      <c r="F38" s="26"/>
      <c r="G38" s="26"/>
      <c r="H38" s="26"/>
      <c r="I38" s="26"/>
      <c r="J38" s="26" t="n">
        <v>0</v>
      </c>
      <c r="K38" s="32" t="n">
        <f>E38+F38+G38</f>
        <v>0</v>
      </c>
      <c r="L38" s="28"/>
      <c r="M38" s="37"/>
      <c r="N38" s="37"/>
      <c r="O38" s="37"/>
      <c r="P38" s="28"/>
      <c r="Q38" s="28"/>
      <c r="R38" s="25"/>
      <c r="S38" s="26"/>
      <c r="T38" s="48" t="n">
        <f>N38+O38+R38-S38</f>
        <v>0</v>
      </c>
      <c r="V38" s="54" t="str">
        <f>IF(D38&gt;T38,"X","")</f>
      </c>
      <c r="W38" s="56" t="n">
        <f>IF(SUM(N38+O38+R38-S38)&gt;D38,SUM(N38+O38+R38-S38),D38)</f>
        <v>0</v>
      </c>
      <c r="Y38" s="45"/>
      <c r="Z38" s="59" t="n">
        <f>G38</f>
      </c>
      <c r="AA38" s="61"/>
      <c r="AB38" s="61" t="n">
        <f>Y38+AA38-Z38</f>
        <v>0</v>
      </c>
      <c r="AD38" s="64" t="n">
        <f>(AB38*9)*M38</f>
        <v>0</v>
      </c>
    </row>
    <row r="39">
      <c r="C39" s="14" t="e">
        <f>IF(EDATE(B39,6)&gt;$A$18,"X","")</f>
        <v>#NAME?</v>
      </c>
      <c r="D39" s="14"/>
      <c r="E39" s="14"/>
      <c r="F39" s="26"/>
      <c r="G39" s="26"/>
      <c r="H39" s="26"/>
      <c r="I39" s="26"/>
      <c r="J39" s="26"/>
      <c r="K39" s="32" t="n">
        <f>E39+F39+G39</f>
        <v>0</v>
      </c>
      <c r="L39" s="28"/>
      <c r="M39" s="37"/>
      <c r="N39" s="37"/>
      <c r="O39" s="37"/>
      <c r="P39" s="28"/>
      <c r="Q39" s="28"/>
      <c r="R39" s="42"/>
      <c r="S39" s="43"/>
      <c r="T39" s="48" t="n">
        <f>N39+O39+R39-S39</f>
        <v>0</v>
      </c>
      <c r="V39" s="54" t="str">
        <f>IF(D39&gt;T39,"X","")</f>
      </c>
      <c r="W39" s="56" t="n">
        <f>IF(SUM(N39+O39+R39-S39)&gt;D39,SUM(N39+O39+R39-S39),D39)</f>
        <v>0</v>
      </c>
      <c r="Y39" s="45"/>
      <c r="Z39" s="59" t="n">
        <f>G39</f>
      </c>
      <c r="AA39" s="61"/>
      <c r="AB39" s="61" t="n">
        <f>Y39+AA39-Z39</f>
        <v>0</v>
      </c>
      <c r="AD39" s="64" t="n">
        <f>(AB39*9)*M39</f>
        <v>0</v>
      </c>
    </row>
    <row r="40">
      <c r="C40" s="14" t="e">
        <f>IF(EDATE(B40,6)&gt;$A$18,"X","")</f>
        <v>#NAME?</v>
      </c>
      <c r="D40" s="14"/>
      <c r="E40" s="14"/>
      <c r="F40" s="26"/>
      <c r="G40" s="26"/>
      <c r="H40" s="26"/>
      <c r="I40" s="26"/>
      <c r="J40" s="26"/>
      <c r="K40" s="32" t="n">
        <f>E40+F40+G40</f>
        <v>0</v>
      </c>
      <c r="L40" s="28"/>
      <c r="M40" s="37"/>
      <c r="N40" s="37"/>
      <c r="O40" s="37"/>
      <c r="P40" s="28"/>
      <c r="Q40" s="28"/>
      <c r="R40" s="43"/>
      <c r="S40" s="43"/>
      <c r="T40" s="48" t="n">
        <f>N40+O40+R40-S40</f>
        <v>0</v>
      </c>
      <c r="V40" s="54" t="str">
        <f>IF(D40&gt;T40,"X","")</f>
      </c>
      <c r="W40" s="56" t="n">
        <f>IF(SUM(N40+O40+R40-S40)&gt;D40,SUM(N40+O40+R40-S40),D40)</f>
        <v>0</v>
      </c>
      <c r="Y40" s="45"/>
      <c r="Z40" s="59" t="n">
        <f>G40</f>
      </c>
      <c r="AA40" s="61"/>
      <c r="AB40" s="61" t="n">
        <f>Y40+AA40-Z40</f>
        <v>0</v>
      </c>
      <c r="AD40" s="64" t="n">
        <f>(AB40*9)*M40</f>
        <v>0</v>
      </c>
    </row>
    <row r="41">
      <c r="A41" s="7"/>
      <c r="B41" s="7"/>
      <c r="C41" s="15"/>
      <c r="D41" s="15"/>
      <c r="E41" s="20"/>
      <c r="F41" s="15"/>
      <c r="G41" s="15"/>
      <c r="H41" s="15"/>
      <c r="I41" s="15"/>
      <c r="J41" s="15"/>
      <c r="K41" s="33"/>
      <c r="L41" s="15"/>
      <c r="M41" s="38"/>
      <c r="N41" s="38"/>
      <c r="O41" s="40"/>
      <c r="P41" s="15"/>
      <c r="Q41" s="15"/>
      <c r="R41" s="44"/>
      <c r="S41" s="46"/>
      <c r="T41" s="40"/>
      <c r="U41" s="7"/>
      <c r="V41" s="55"/>
      <c r="W41" s="57"/>
      <c r="Y41" s="60"/>
      <c r="Z41" s="60"/>
      <c r="AA41" s="62"/>
      <c r="AB41" s="62"/>
      <c r="AD41" s="65"/>
    </row>
    <row r="43">
      <c r="C43"/>
      <c r="D43" s="18"/>
      <c r="E43" s="21"/>
      <c r="F43" s="27"/>
      <c r="G43" s="6"/>
      <c r="H43" s="6"/>
      <c r="I43" s="27"/>
      <c r="T43" s="50"/>
      <c r="W43" s="50"/>
    </row>
    <row r="44">
      <c r="E44" s="22"/>
      <c r="F44" s="28"/>
      <c r="H44" s="22"/>
      <c r="I44" s="28"/>
      <c r="S44" s="47"/>
      <c r="T44" s="50"/>
    </row>
    <row r="45">
      <c r="E45" s="22"/>
      <c r="F45" s="28"/>
      <c r="H45" s="22"/>
      <c r="I45" s="28"/>
      <c r="M45" s="39"/>
      <c r="N45" s="39"/>
      <c r="S45" s="35"/>
      <c r="T45" s="51"/>
      <c r="U45" s="35"/>
    </row>
    <row r="46">
      <c r="E46" s="22"/>
      <c r="F46" s="28"/>
      <c r="H46" s="22"/>
      <c r="I46" s="29"/>
      <c r="M46" s="39"/>
      <c r="S46" s="35"/>
      <c r="T46" s="52"/>
      <c r="U46" s="35"/>
    </row>
    <row r="47">
      <c r="E47" s="22"/>
      <c r="F47" s="28"/>
      <c r="H47" s="23"/>
      <c r="I47" s="28"/>
    </row>
    <row r="48">
      <c r="E48" s="22"/>
      <c r="F48" s="28"/>
      <c r="H48" s="22"/>
      <c r="I48" s="28"/>
      <c r="S48" s="12"/>
      <c r="T48" s="53"/>
    </row>
    <row r="49">
      <c r="E49" s="23"/>
      <c r="F49" s="29"/>
      <c r="H49" s="22"/>
      <c r="I49" s="28"/>
      <c r="S49" s="12"/>
    </row>
    <row r="50">
      <c r="E50" s="24"/>
      <c r="F50" s="30"/>
      <c r="G50" s="8"/>
      <c r="H50" s="24"/>
      <c r="I50" s="30"/>
      <c r="N50" s="12"/>
      <c r="O50" s="12"/>
    </row>
    <row r="51">
      <c r="E51"/>
      <c r="N51" s="12"/>
      <c r="O51" s="12"/>
    </row>
    <row r="52">
      <c r="E52"/>
    </row>
    <row r="53">
      <c r="C53" s="16"/>
      <c r="D53" s="16"/>
      <c r="E53" s="16"/>
      <c r="F53" s="16"/>
      <c r="G53" s="16"/>
      <c r="H53" s="16"/>
    </row>
    <row r="54">
      <c r="C54" s="16"/>
      <c r="D54" s="16"/>
      <c r="E54" s="16"/>
      <c r="F54" s="16"/>
      <c r="G54" s="16"/>
      <c r="H54" s="16"/>
    </row>
    <row r="55">
      <c r="C55" s="16"/>
      <c r="D55" s="16"/>
      <c r="E55" s="16"/>
      <c r="F55" s="16"/>
      <c r="G55" s="16"/>
      <c r="H55" s="16"/>
    </row>
  </sheetData>
  <sortState ref="A5:A32">
    <sortCondition ref="A5:A32"/>
  </sortState>
  <mergeCells>
    <mergeCell ref="V3:W3"/>
  </mergeCells>
  <pageMargins bottom="0.75" footer="0.3" header="0.3" left="0.7" right="0.7" top="0.75"/>
  <pageSetup paperSize="1" orientation="landscape" scale="50"/>
</worksheet>
</file>

<file path=xl/worksheets/sheet2.xml><?xml version="1.0" encoding="utf-8"?>
<worksheet xmlns:r="http://schemas.openxmlformats.org/officeDocument/2006/relationships" xmlns="http://schemas.openxmlformats.org/spreadsheetml/2006/main">
  <dimension ref="A1:G31"/>
  <sheetViews>
    <sheetView zoomScale="100" topLeftCell="A1" workbookViewId="0" showGridLines="true" showRowColHeaders="true">
      <selection activeCell="E23" sqref="E23:E23"/>
    </sheetView>
  </sheetViews>
  <sheetFormatPr customHeight="false" defaultColWidth="21.7109375" defaultRowHeight="15"/>
  <cols>
    <col min="1" max="1" bestFit="false" customWidth="true" width="8.421875" hidden="false" outlineLevel="0"/>
    <col min="6" max="6" bestFit="false" customWidth="true" width="45.28125" hidden="false" outlineLevel="0"/>
  </cols>
  <sheetData>
    <row r="2">
      <c r="B2" s="66" t="s">
        <v>49</v>
      </c>
      <c r="C2" s="74"/>
      <c r="D2" s="74"/>
      <c r="E2" s="84"/>
      <c r="F2" s="67"/>
      <c r="G2" s="67"/>
    </row>
    <row r="3">
      <c r="B3" s="67"/>
      <c r="C3" s="67"/>
      <c r="D3" s="67"/>
      <c r="E3" s="67"/>
      <c r="F3" s="67"/>
      <c r="G3" s="67"/>
    </row>
    <row r="4">
      <c r="B4" s="68" t="s">
        <v>50</v>
      </c>
      <c r="C4" s="68" t="s">
        <v>74</v>
      </c>
      <c r="D4" s="68" t="s">
        <v>96</v>
      </c>
      <c r="E4" s="85" t="s">
        <v>118</v>
      </c>
      <c r="F4" s="88" t="s">
        <v>119</v>
      </c>
      <c r="G4" s="67"/>
    </row>
    <row r="5">
      <c r="B5" s="69" t="s">
        <v>51</v>
      </c>
      <c r="C5" s="75" t="s">
        <v>75</v>
      </c>
      <c r="D5" s="77" t="s">
        <v>97</v>
      </c>
      <c r="E5" s="86" t="n">
        <v>75981.65</v>
      </c>
      <c r="F5" s="75" t="s">
        <v>120</v>
      </c>
      <c r="G5" s="67"/>
    </row>
    <row r="6">
      <c r="B6" s="69" t="s">
        <v>52</v>
      </c>
      <c r="C6" s="75" t="s">
        <v>76</v>
      </c>
      <c r="D6" s="77" t="s">
        <v>98</v>
      </c>
      <c r="E6" s="86" t="n">
        <v>117384.76</v>
      </c>
      <c r="F6" s="75" t="s">
        <v>121</v>
      </c>
      <c r="G6" s="67"/>
    </row>
    <row r="7">
      <c r="B7" s="69" t="s">
        <v>53</v>
      </c>
      <c r="C7" s="75" t="s">
        <v>77</v>
      </c>
      <c r="D7" s="77" t="s">
        <v>99</v>
      </c>
      <c r="E7" s="86" t="n">
        <v>20460</v>
      </c>
      <c r="F7" s="75" t="s">
        <v>122</v>
      </c>
      <c r="G7" s="67"/>
    </row>
    <row r="8">
      <c r="B8" s="69" t="s">
        <v>54</v>
      </c>
      <c r="C8" s="75" t="s">
        <v>78</v>
      </c>
      <c r="D8" s="77" t="s">
        <v>100</v>
      </c>
      <c r="E8" s="86" t="n">
        <v>35526.6</v>
      </c>
      <c r="F8" s="75" t="s">
        <v>123</v>
      </c>
      <c r="G8" s="67"/>
    </row>
    <row r="9">
      <c r="B9" s="69" t="s">
        <v>55</v>
      </c>
      <c r="C9" s="75" t="s">
        <v>79</v>
      </c>
      <c r="D9" s="77" t="s">
        <v>101</v>
      </c>
      <c r="E9" s="86" t="n">
        <v>95147.5</v>
      </c>
      <c r="F9" s="75" t="s">
        <v>121</v>
      </c>
      <c r="G9" s="67"/>
    </row>
    <row r="10">
      <c r="B10" s="69" t="s">
        <v>56</v>
      </c>
      <c r="C10" s="76" t="s">
        <v>80</v>
      </c>
      <c r="D10" s="69" t="s">
        <v>102</v>
      </c>
      <c r="E10" s="86" t="n">
        <v>45783.59</v>
      </c>
      <c r="F10" s="76" t="s">
        <v>124</v>
      </c>
      <c r="G10" s="67"/>
    </row>
    <row r="11">
      <c r="B11" s="69" t="s">
        <v>57</v>
      </c>
      <c r="C11" s="75" t="s">
        <v>81</v>
      </c>
      <c r="D11" s="77" t="s">
        <v>103</v>
      </c>
      <c r="E11" s="86" t="n">
        <v>36625.69</v>
      </c>
      <c r="F11" s="75" t="s">
        <v>125</v>
      </c>
      <c r="G11" s="67"/>
    </row>
    <row r="12">
      <c r="B12" s="69" t="s">
        <v>58</v>
      </c>
      <c r="C12" s="75" t="s">
        <v>82</v>
      </c>
      <c r="D12" s="75" t="s">
        <v>104</v>
      </c>
      <c r="E12" s="86" t="n">
        <v>22335.6</v>
      </c>
      <c r="F12" s="75" t="s">
        <v>121</v>
      </c>
      <c r="G12" s="67"/>
    </row>
    <row r="13">
      <c r="B13" s="69" t="s">
        <v>59</v>
      </c>
      <c r="C13" s="77" t="s">
        <v>83</v>
      </c>
      <c r="D13" s="77" t="s">
        <v>105</v>
      </c>
      <c r="E13" s="86" t="n">
        <v>74263.27</v>
      </c>
      <c r="F13" s="75" t="s">
        <v>125</v>
      </c>
      <c r="G13" s="67"/>
    </row>
    <row r="14">
      <c r="B14" s="69" t="s">
        <v>60</v>
      </c>
      <c r="C14" s="77" t="s">
        <v>84</v>
      </c>
      <c r="D14" s="77" t="s">
        <v>106</v>
      </c>
      <c r="E14" s="86" t="n">
        <v>71451.21</v>
      </c>
      <c r="F14" s="75" t="s">
        <v>126</v>
      </c>
      <c r="G14" s="67"/>
    </row>
    <row r="15">
      <c r="B15" s="70" t="s">
        <v>61</v>
      </c>
      <c r="C15" s="78" t="s">
        <v>85</v>
      </c>
      <c r="D15" s="80" t="s">
        <v>107</v>
      </c>
      <c r="E15" s="86" t="n">
        <v>42970.19</v>
      </c>
      <c r="F15" s="89" t="s">
        <v>127</v>
      </c>
      <c r="G15" s="67"/>
    </row>
    <row r="16">
      <c r="B16" s="69" t="s">
        <v>62</v>
      </c>
      <c r="C16" s="77" t="s">
        <v>86</v>
      </c>
      <c r="D16" s="77" t="s">
        <v>108</v>
      </c>
      <c r="E16" s="86" t="n">
        <v>42231</v>
      </c>
      <c r="F16" s="75" t="s">
        <v>127</v>
      </c>
      <c r="G16" s="67"/>
    </row>
    <row r="17">
      <c r="B17" s="70" t="s">
        <v>63</v>
      </c>
      <c r="C17" s="77" t="s">
        <v>87</v>
      </c>
      <c r="D17" s="81" t="s">
        <v>109</v>
      </c>
      <c r="E17" s="86" t="n">
        <v>60290.52</v>
      </c>
      <c r="F17" s="75" t="s">
        <v>126</v>
      </c>
      <c r="G17" s="67"/>
    </row>
    <row r="18">
      <c r="B18" s="69" t="s">
        <v>64</v>
      </c>
      <c r="C18" s="77" t="s">
        <v>88</v>
      </c>
      <c r="D18" s="81" t="s">
        <v>110</v>
      </c>
      <c r="E18" s="86" t="n">
        <v>69853.84</v>
      </c>
      <c r="F18" s="75" t="s">
        <v>126</v>
      </c>
      <c r="G18" s="67"/>
    </row>
    <row r="19">
      <c r="B19" s="71" t="s">
        <v>65</v>
      </c>
      <c r="C19" s="79" t="s">
        <v>89</v>
      </c>
      <c r="D19" s="71" t="s">
        <v>98</v>
      </c>
      <c r="E19" s="86" t="n">
        <v>47835.59</v>
      </c>
      <c r="F19" s="71" t="s">
        <v>121</v>
      </c>
      <c r="G19" s="67"/>
    </row>
    <row r="20">
      <c r="B20" s="69" t="s">
        <v>66</v>
      </c>
      <c r="C20" s="77" t="s">
        <v>90</v>
      </c>
      <c r="D20" s="71" t="s">
        <v>111</v>
      </c>
      <c r="E20" s="86" t="n">
        <v>28405.71</v>
      </c>
      <c r="F20" s="71" t="s">
        <v>125</v>
      </c>
      <c r="G20" s="67"/>
    </row>
    <row r="21">
      <c r="B21" s="71" t="s">
        <v>67</v>
      </c>
      <c r="C21" s="79" t="s">
        <v>91</v>
      </c>
      <c r="D21" s="82" t="s">
        <v>112</v>
      </c>
      <c r="E21" s="86" t="n">
        <v>159467.76</v>
      </c>
      <c r="F21" s="82" t="s">
        <v>128</v>
      </c>
      <c r="G21" s="67"/>
    </row>
    <row r="22">
      <c r="B22" s="69" t="s">
        <v>68</v>
      </c>
      <c r="C22" s="70" t="s">
        <v>92</v>
      </c>
      <c r="D22" s="70" t="s">
        <v>113</v>
      </c>
      <c r="E22" s="86" t="n">
        <v>43068.03</v>
      </c>
      <c r="F22" s="70" t="s">
        <v>121</v>
      </c>
      <c r="G22" s="67"/>
    </row>
    <row r="23">
      <c r="B23" s="70" t="s">
        <v>69</v>
      </c>
      <c r="C23" s="70" t="s">
        <v>93</v>
      </c>
      <c r="D23" s="70" t="s">
        <v>114</v>
      </c>
      <c r="E23" s="86" t="n">
        <v>48659.63</v>
      </c>
      <c r="F23" s="70" t="s">
        <v>123</v>
      </c>
      <c r="G23" s="67"/>
    </row>
    <row r="24">
      <c r="B24" s="70" t="s">
        <v>70</v>
      </c>
      <c r="C24" s="70" t="s">
        <v>94</v>
      </c>
      <c r="D24" s="67" t="s">
        <v>115</v>
      </c>
      <c r="E24" s="86" t="n">
        <v>31778.46</v>
      </c>
      <c r="F24" s="67" t="s">
        <v>129</v>
      </c>
      <c r="G24" s="67"/>
    </row>
    <row r="25">
      <c r="B25" s="70" t="s">
        <v>71</v>
      </c>
      <c r="C25" s="70" t="s">
        <v>95</v>
      </c>
      <c r="D25" s="70" t="s">
        <v>116</v>
      </c>
      <c r="E25" s="86" t="n">
        <v>49585.98</v>
      </c>
      <c r="F25" s="70" t="s">
        <v>121</v>
      </c>
      <c r="G25" s="67"/>
    </row>
    <row r="26">
      <c r="B26" s="72" t="s">
        <v>72</v>
      </c>
      <c r="C26" s="72"/>
      <c r="D26" s="83" t="s">
        <v>117</v>
      </c>
      <c r="E26" s="87" t="n">
        <f>SUM(E5:E25)</f>
        <v>1219106.58</v>
      </c>
      <c r="F26" s="70"/>
      <c r="G26" s="67"/>
    </row>
    <row r="27">
      <c r="B27" s="67"/>
      <c r="C27" s="67"/>
      <c r="D27" s="67"/>
      <c r="E27" s="67"/>
      <c r="F27" s="67"/>
      <c r="G27" s="67"/>
    </row>
    <row r="28">
      <c r="B28" s="67"/>
      <c r="C28" s="67"/>
      <c r="D28" s="67"/>
      <c r="E28" s="67"/>
      <c r="F28" s="67"/>
      <c r="G28" s="67"/>
    </row>
    <row r="29">
      <c r="B29" s="73"/>
      <c r="C29" s="73"/>
      <c r="D29" s="67"/>
      <c r="E29" s="67"/>
      <c r="F29" s="67"/>
      <c r="G29" s="67"/>
    </row>
    <row r="30">
      <c r="B30" s="67" t="s">
        <v>73</v>
      </c>
      <c r="C30" s="67"/>
      <c r="D30" s="67"/>
      <c r="E30" s="67"/>
      <c r="F30" s="67"/>
      <c r="G30" s="67"/>
    </row>
    <row r="31">
      <c r="B31" s="67"/>
      <c r="C31" s="67"/>
      <c r="D31" s="67"/>
      <c r="E31" s="67"/>
      <c r="F31" s="67"/>
      <c r="G31" s="67"/>
    </row>
  </sheetData>
  <pageMargins bottom="0.75" footer="0.3" header="0.3" left="0.7" right="0.7" top="0.75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true"/>
  </sheetPr>
  <dimension ref="A1:G41"/>
  <sheetViews>
    <sheetView zoomScale="95" topLeftCell="A1" workbookViewId="0" showGridLines="true" showRowColHeaders="true">
      <selection activeCell="H1" sqref="H1:H1"/>
    </sheetView>
  </sheetViews>
  <sheetFormatPr customHeight="false" defaultColWidth="20.57421875" defaultRowHeight="15"/>
  <cols>
    <col min="1" max="1" bestFit="false" customWidth="true" width="20.421875" hidden="false" outlineLevel="0"/>
    <col min="2" max="2" bestFit="false" customWidth="true" width="15.57421875" hidden="false" outlineLevel="0"/>
    <col min="3" max="3" bestFit="false" customWidth="true" width="20.57421875" hidden="false" outlineLevel="0"/>
    <col min="4" max="4" bestFit="false" customWidth="true" width="10.57421875" hidden="false" outlineLevel="0"/>
    <col min="5" max="6" bestFit="false" customWidth="true" width="15.57421875" hidden="false" outlineLevel="0"/>
    <col min="7" max="7" bestFit="false" customWidth="true" width="31.7109375" hidden="false" outlineLevel="0"/>
  </cols>
  <sheetData>
    <row r="1" ht="21" customHeight="true">
      <c r="B1" s="99" t="s">
        <v>155</v>
      </c>
      <c r="C1" s="99"/>
      <c r="D1" s="99"/>
      <c r="E1" s="99"/>
      <c r="F1" s="99"/>
      <c r="G1" s="99"/>
    </row>
    <row r="2" ht="14.25" customHeight="true">
      <c r="B2" s="100"/>
      <c r="C2" s="100"/>
      <c r="D2" s="100"/>
      <c r="E2" s="100"/>
      <c r="F2" s="100"/>
      <c r="G2" s="100"/>
    </row>
    <row r="3" ht="14.25" customHeight="true">
      <c r="B3" s="100"/>
      <c r="C3" s="100"/>
      <c r="D3" s="100"/>
      <c r="E3" s="100"/>
      <c r="F3" s="100"/>
      <c r="G3" s="100"/>
    </row>
    <row r="4" ht="14.25" customHeight="true">
      <c r="B4" s="100"/>
      <c r="C4" s="100"/>
      <c r="D4" s="100"/>
      <c r="E4" s="100"/>
      <c r="F4" s="100"/>
      <c r="G4" s="100"/>
    </row>
    <row r="6">
      <c r="A6" s="90" t="s">
        <v>130</v>
      </c>
      <c r="B6" s="101"/>
      <c r="C6" s="110" t="s">
        <v>2</v>
      </c>
      <c r="D6" s="117"/>
      <c r="E6" s="90" t="s">
        <v>162</v>
      </c>
      <c r="F6" s="101"/>
      <c r="G6" s="110" t="s">
        <v>180</v>
      </c>
    </row>
    <row r="7">
      <c r="A7" s="91" t="s">
        <v>131</v>
      </c>
      <c r="B7" s="102"/>
      <c r="C7" s="111"/>
      <c r="D7" s="117"/>
      <c r="E7" s="91" t="s">
        <v>163</v>
      </c>
      <c r="F7" s="102"/>
      <c r="G7" s="111" t="s">
        <v>181</v>
      </c>
    </row>
    <row r="8">
      <c r="A8" s="91" t="s">
        <v>132</v>
      </c>
      <c r="B8" s="102"/>
      <c r="C8" s="112" t="n">
        <v>635301518206</v>
      </c>
      <c r="D8" s="118"/>
      <c r="E8" s="91" t="s">
        <v>164</v>
      </c>
      <c r="F8" s="102"/>
      <c r="G8" s="130"/>
    </row>
    <row r="9">
      <c r="A9" s="92" t="s">
        <v>133</v>
      </c>
      <c r="B9" s="103"/>
      <c r="C9" s="113" t="n">
        <v>46113</v>
      </c>
      <c r="D9" s="117"/>
      <c r="E9" s="91" t="s">
        <v>165</v>
      </c>
      <c r="F9" s="102"/>
      <c r="G9" s="131" t="n">
        <v>23</v>
      </c>
    </row>
    <row r="10">
      <c r="E10" s="122" t="s">
        <v>166</v>
      </c>
      <c r="F10" s="128"/>
      <c r="G10" s="132" t="n">
        <v>72628.13</v>
      </c>
    </row>
    <row r="11">
      <c r="E11" s="123" t="s">
        <v>167</v>
      </c>
      <c r="F11" s="129"/>
      <c r="G11" s="133" t="n">
        <v>267.35</v>
      </c>
    </row>
    <row r="13">
      <c r="A13" s="93" t="s">
        <v>134</v>
      </c>
      <c r="B13" s="93"/>
      <c r="C13" s="114" t="n">
        <v>58167.38</v>
      </c>
      <c r="E13" s="12" t="s">
        <v>168</v>
      </c>
      <c r="F13" s="12"/>
      <c r="G13" s="98" t="n">
        <v>1800</v>
      </c>
    </row>
    <row r="14">
      <c r="A14" s="93" t="s">
        <v>135</v>
      </c>
      <c r="B14" s="93"/>
      <c r="C14" s="114" t="n">
        <v>23266.95</v>
      </c>
      <c r="D14" s="93"/>
      <c r="E14" s="12" t="s">
        <v>169</v>
      </c>
      <c r="F14" s="12"/>
      <c r="G14" s="108" t="n">
        <v>0</v>
      </c>
    </row>
    <row r="15">
      <c r="A15" s="93" t="s">
        <v>136</v>
      </c>
      <c r="B15" s="93"/>
      <c r="C15" s="114" t="n">
        <v>0</v>
      </c>
      <c r="D15" s="93"/>
      <c r="E15" s="12" t="s">
        <v>170</v>
      </c>
      <c r="F15" s="12"/>
      <c r="G15" s="108" t="n">
        <v>0</v>
      </c>
    </row>
    <row r="16">
      <c r="A16" s="93" t="s">
        <v>137</v>
      </c>
      <c r="B16" s="93"/>
      <c r="C16" s="114" t="n">
        <v>1250</v>
      </c>
      <c r="D16" s="93"/>
      <c r="E16" s="12" t="s">
        <v>171</v>
      </c>
      <c r="F16" s="12"/>
      <c r="G16" s="108" t="n">
        <v>0</v>
      </c>
    </row>
    <row r="17">
      <c r="A17" s="93" t="s">
        <v>138</v>
      </c>
      <c r="B17" s="93"/>
      <c r="C17" s="114" t="n">
        <v>1600</v>
      </c>
      <c r="D17" s="93"/>
      <c r="E17" s="12" t="s">
        <v>172</v>
      </c>
      <c r="F17" s="12"/>
      <c r="G17" s="108" t="n">
        <v>0</v>
      </c>
    </row>
    <row r="18">
      <c r="A18" s="93" t="s">
        <v>139</v>
      </c>
      <c r="B18" s="93"/>
      <c r="C18" s="98" t="n">
        <v>0</v>
      </c>
      <c r="D18" s="93"/>
      <c r="E18" s="12" t="s">
        <v>173</v>
      </c>
      <c r="F18" s="12"/>
      <c r="G18" s="58" t="n">
        <f>SUM(G13:G17)</f>
        <v>1800</v>
      </c>
    </row>
    <row r="19">
      <c r="A19" s="93" t="s">
        <v>140</v>
      </c>
      <c r="B19" s="93"/>
      <c r="C19" s="98" t="n">
        <v>0</v>
      </c>
      <c r="D19" s="93"/>
    </row>
    <row r="20">
      <c r="A20" s="93" t="s">
        <v>141</v>
      </c>
      <c r="B20" s="93"/>
      <c r="C20" s="98" t="n">
        <v>0</v>
      </c>
      <c r="D20" s="93"/>
    </row>
    <row r="21">
      <c r="A21" s="93" t="s">
        <v>142</v>
      </c>
      <c r="B21" s="93"/>
      <c r="C21" s="98" t="n">
        <v>1600</v>
      </c>
      <c r="D21" s="93"/>
      <c r="E21" s="12"/>
      <c r="F21" s="12"/>
    </row>
    <row r="22">
      <c r="A22" s="93" t="s">
        <v>143</v>
      </c>
      <c r="B22" s="93"/>
      <c r="C22" s="98" t="n">
        <v>0</v>
      </c>
      <c r="D22" s="93"/>
      <c r="E22" s="124" t="s">
        <v>38</v>
      </c>
      <c r="F22" s="93"/>
      <c r="G22" s="114" t="n">
        <v>2850</v>
      </c>
    </row>
    <row r="23">
      <c r="A23" s="93" t="s">
        <v>144</v>
      </c>
      <c r="B23" s="93"/>
      <c r="C23" s="98" t="n">
        <v>0</v>
      </c>
      <c r="D23" s="93"/>
      <c r="E23" s="93" t="s">
        <v>174</v>
      </c>
      <c r="F23" s="93"/>
      <c r="G23" s="114" t="n">
        <v>0</v>
      </c>
    </row>
    <row r="24">
      <c r="A24" s="93" t="s">
        <v>145</v>
      </c>
      <c r="B24" s="93"/>
      <c r="C24" s="98" t="n">
        <v>0</v>
      </c>
      <c r="D24" s="93"/>
      <c r="E24" s="12" t="s">
        <v>175</v>
      </c>
      <c r="F24" s="12"/>
      <c r="G24" s="108" t="n">
        <v>0</v>
      </c>
    </row>
    <row r="25">
      <c r="A25" s="93" t="s">
        <v>146</v>
      </c>
      <c r="B25" s="93"/>
      <c r="C25" s="114" t="n">
        <v>30450.43</v>
      </c>
      <c r="D25" s="93"/>
    </row>
    <row r="28">
      <c r="B28" s="104" t="s">
        <v>156</v>
      </c>
      <c r="C28" s="115" t="n">
        <v>116334.76</v>
      </c>
      <c r="D28" s="119"/>
      <c r="E28" s="119"/>
      <c r="F28" s="104" t="s">
        <v>176</v>
      </c>
      <c r="G28" s="115" t="n">
        <f>C28-G18+G22+G23+G24</f>
        <v>117384.76</v>
      </c>
    </row>
    <row r="30">
      <c r="A30" s="94" t="s">
        <v>147</v>
      </c>
      <c r="B30" s="105"/>
      <c r="C30" s="105"/>
      <c r="D30" s="105"/>
      <c r="E30" s="105"/>
      <c r="F30" s="105"/>
      <c r="G30" s="134"/>
    </row>
    <row r="31">
      <c r="A31" s="95" t="s">
        <v>148</v>
      </c>
      <c r="B31" s="106"/>
      <c r="C31" s="47" t="s">
        <v>157</v>
      </c>
      <c r="D31" s="120" t="s">
        <v>158</v>
      </c>
      <c r="E31" s="120"/>
      <c r="F31" s="120"/>
      <c r="G31" s="135"/>
    </row>
    <row r="32">
      <c r="A32" s="96" t="s">
        <v>149</v>
      </c>
      <c r="B32" s="98" t="n">
        <v>46.88</v>
      </c>
      <c r="C32" s="116" t="n">
        <v>0</v>
      </c>
      <c r="D32" s="121" t="s">
        <v>159</v>
      </c>
      <c r="E32" s="125" t="n">
        <v>0</v>
      </c>
      <c r="F32" s="121" t="s">
        <v>177</v>
      </c>
      <c r="G32" s="136" t="n">
        <v>0</v>
      </c>
    </row>
    <row r="33">
      <c r="A33" s="96" t="s">
        <v>150</v>
      </c>
      <c r="B33" s="107" t="n">
        <v>15.04</v>
      </c>
      <c r="C33" s="12"/>
      <c r="D33" s="121" t="s">
        <v>160</v>
      </c>
      <c r="E33" s="126" t="n">
        <v>18</v>
      </c>
      <c r="F33" s="121" t="s">
        <v>178</v>
      </c>
      <c r="G33" s="137" t="n">
        <v>0</v>
      </c>
    </row>
    <row r="34">
      <c r="A34" s="96" t="s">
        <v>151</v>
      </c>
      <c r="B34" s="108" t="n">
        <v>27</v>
      </c>
      <c r="C34" s="116" t="n">
        <v>18</v>
      </c>
      <c r="D34" s="121" t="s">
        <v>161</v>
      </c>
      <c r="E34" s="126" t="n">
        <v>18</v>
      </c>
      <c r="F34" s="121" t="s">
        <v>179</v>
      </c>
      <c r="G34" s="137" t="n">
        <v>63</v>
      </c>
    </row>
    <row r="35">
      <c r="A35" s="96" t="s">
        <v>152</v>
      </c>
      <c r="B35" s="107" t="n">
        <f>B32+B33-B34</f>
        <v>34.92</v>
      </c>
      <c r="C35" s="107" t="n">
        <f>C32-C34</f>
        <v>-18</v>
      </c>
      <c r="D35" s="121"/>
      <c r="E35" s="127"/>
      <c r="F35" s="121"/>
      <c r="G35" s="138"/>
    </row>
    <row r="36">
      <c r="A36" s="97"/>
      <c r="B36" s="109"/>
      <c r="C36" s="109"/>
      <c r="D36" s="109"/>
      <c r="E36" s="109"/>
      <c r="F36" s="109"/>
      <c r="G36" s="139"/>
    </row>
    <row r="39">
      <c r="A39" s="98"/>
      <c r="B39" s="98"/>
    </row>
    <row r="40">
      <c r="A40" s="35" t="s">
        <v>153</v>
      </c>
    </row>
    <row r="41">
      <c r="A41" s="35" t="s">
        <v>154</v>
      </c>
    </row>
  </sheetData>
  <mergeCells>
    <mergeCell ref="A31:B31"/>
    <mergeCell ref="D31:G31"/>
    <mergeCell ref="A23:B23"/>
    <mergeCell ref="E23:F23"/>
    <mergeCell ref="A24:B24"/>
    <mergeCell ref="E24:F24"/>
    <mergeCell ref="A25:B25"/>
    <mergeCell ref="A30:G30"/>
    <mergeCell ref="A20:B20"/>
    <mergeCell ref="A21:B21"/>
    <mergeCell ref="E21:F21"/>
    <mergeCell ref="A22:B22"/>
    <mergeCell ref="E22:F22"/>
    <mergeCell ref="E17:F17"/>
    <mergeCell ref="A17:B17"/>
    <mergeCell ref="A18:B18"/>
    <mergeCell ref="E18:F18"/>
    <mergeCell ref="A19:B19"/>
    <mergeCell ref="A14:B14"/>
    <mergeCell ref="E14:F14"/>
    <mergeCell ref="A15:B15"/>
    <mergeCell ref="E15:F15"/>
    <mergeCell ref="A16:B16"/>
    <mergeCell ref="E16:F16"/>
    <mergeCell ref="A9:B9"/>
    <mergeCell ref="E9:F9"/>
    <mergeCell ref="E10:F10"/>
    <mergeCell ref="E11:F11"/>
    <mergeCell ref="A13:B13"/>
    <mergeCell ref="E13:F13"/>
    <mergeCell ref="A8:B8"/>
    <mergeCell ref="E8:F8"/>
    <mergeCell ref="B1:G4"/>
    <mergeCell ref="A6:B6"/>
    <mergeCell ref="E6:F6"/>
    <mergeCell ref="A7:B7"/>
    <mergeCell ref="E7:F7"/>
  </mergeCells>
  <pageMargins bottom="0.75" footer="0.3" header="0.3" left="0.7" right="0.7" top="0.75"/>
  <pageSetup paperSize="1" orientation="portrait" scale="69"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true"/>
  </sheetPr>
  <dimension ref="A1:G41"/>
  <sheetViews>
    <sheetView zoomScale="95" topLeftCell="A1" workbookViewId="0" showGridLines="true" showRowColHeaders="true">
      <selection activeCell="H1" sqref="H1:H1"/>
    </sheetView>
  </sheetViews>
  <sheetFormatPr customHeight="false" defaultColWidth="20.57421875" defaultRowHeight="15"/>
  <cols>
    <col min="1" max="1" bestFit="false" customWidth="true" width="20.421875" hidden="false" outlineLevel="0"/>
    <col min="2" max="2" bestFit="false" customWidth="true" width="15.57421875" hidden="false" outlineLevel="0"/>
    <col min="3" max="3" bestFit="false" customWidth="true" width="20.57421875" hidden="false" outlineLevel="0"/>
    <col min="4" max="4" bestFit="false" customWidth="true" width="10.57421875" hidden="false" outlineLevel="0"/>
    <col min="5" max="6" bestFit="false" customWidth="true" width="15.57421875" hidden="false" outlineLevel="0"/>
    <col min="7" max="7" bestFit="false" customWidth="true" width="31.7109375" hidden="false" outlineLevel="0"/>
  </cols>
  <sheetData>
    <row r="1" ht="21" customHeight="true">
      <c r="B1" s="99" t="s">
        <v>155</v>
      </c>
      <c r="C1" s="99"/>
      <c r="D1" s="99"/>
      <c r="E1" s="99"/>
      <c r="F1" s="99"/>
      <c r="G1" s="99"/>
    </row>
    <row r="2" ht="14.25" customHeight="true">
      <c r="B2" s="100"/>
      <c r="C2" s="100"/>
      <c r="D2" s="100"/>
      <c r="E2" s="100"/>
      <c r="F2" s="100"/>
      <c r="G2" s="100"/>
    </row>
    <row r="3" ht="14.25" customHeight="true">
      <c r="B3" s="100"/>
      <c r="C3" s="100"/>
      <c r="D3" s="100"/>
      <c r="E3" s="100"/>
      <c r="F3" s="100"/>
      <c r="G3" s="100"/>
    </row>
    <row r="4" ht="14.25" customHeight="true">
      <c r="B4" s="100"/>
      <c r="C4" s="100"/>
      <c r="D4" s="100"/>
      <c r="E4" s="100"/>
      <c r="F4" s="100"/>
      <c r="G4" s="100"/>
    </row>
    <row r="6">
      <c r="A6" s="90" t="s">
        <v>130</v>
      </c>
      <c r="B6" s="101"/>
      <c r="C6" s="110" t="s">
        <v>7</v>
      </c>
      <c r="D6" s="117"/>
      <c r="E6" s="90" t="s">
        <v>162</v>
      </c>
      <c r="F6" s="101"/>
      <c r="G6" s="110" t="s">
        <v>183</v>
      </c>
    </row>
    <row r="7">
      <c r="A7" s="91" t="s">
        <v>131</v>
      </c>
      <c r="B7" s="102"/>
      <c r="C7" s="111" t="s">
        <v>182</v>
      </c>
      <c r="D7" s="117"/>
      <c r="E7" s="91" t="s">
        <v>163</v>
      </c>
      <c r="F7" s="102"/>
      <c r="G7" s="111"/>
    </row>
    <row r="8">
      <c r="A8" s="91" t="s">
        <v>132</v>
      </c>
      <c r="B8" s="102"/>
      <c r="C8" s="112" t="n">
        <v>342101512034</v>
      </c>
      <c r="D8" s="118"/>
      <c r="E8" s="91" t="s">
        <v>164</v>
      </c>
      <c r="F8" s="102"/>
      <c r="G8" s="130" t="s">
        <v>184</v>
      </c>
    </row>
    <row r="9">
      <c r="A9" s="92" t="s">
        <v>133</v>
      </c>
      <c r="B9" s="103"/>
      <c r="C9" s="113" t="n">
        <v>46113</v>
      </c>
      <c r="D9" s="117"/>
      <c r="E9" s="91" t="s">
        <v>165</v>
      </c>
      <c r="F9" s="102"/>
      <c r="G9" s="131" t="n">
        <v>23</v>
      </c>
    </row>
    <row r="10">
      <c r="E10" s="122" t="s">
        <v>166</v>
      </c>
      <c r="F10" s="128"/>
      <c r="G10" s="132" t="n">
        <v>65430.75</v>
      </c>
    </row>
    <row r="11">
      <c r="E11" s="123" t="s">
        <v>167</v>
      </c>
      <c r="F11" s="129"/>
      <c r="G11" s="133" t="n">
        <v>260.26</v>
      </c>
    </row>
    <row r="13">
      <c r="A13" s="93" t="s">
        <v>134</v>
      </c>
      <c r="B13" s="93"/>
      <c r="C13" s="114" t="n">
        <v>45173.75</v>
      </c>
      <c r="E13" s="12" t="s">
        <v>168</v>
      </c>
      <c r="F13" s="12"/>
      <c r="G13" s="98" t="n">
        <v>1800</v>
      </c>
    </row>
    <row r="14">
      <c r="A14" s="93" t="s">
        <v>135</v>
      </c>
      <c r="B14" s="93"/>
      <c r="C14" s="114" t="n">
        <v>18069.5</v>
      </c>
      <c r="D14" s="93"/>
      <c r="E14" s="12" t="s">
        <v>169</v>
      </c>
      <c r="F14" s="12"/>
      <c r="G14" s="108" t="n">
        <v>0</v>
      </c>
    </row>
    <row r="15">
      <c r="A15" s="93" t="s">
        <v>136</v>
      </c>
      <c r="B15" s="93"/>
      <c r="C15" s="114" t="n">
        <v>0</v>
      </c>
      <c r="D15" s="93"/>
      <c r="E15" s="12" t="s">
        <v>170</v>
      </c>
      <c r="F15" s="12"/>
      <c r="G15" s="108" t="n">
        <v>0</v>
      </c>
    </row>
    <row r="16">
      <c r="A16" s="93" t="s">
        <v>137</v>
      </c>
      <c r="B16" s="93"/>
      <c r="C16" s="114" t="n">
        <v>1250</v>
      </c>
      <c r="D16" s="93"/>
      <c r="E16" s="12" t="s">
        <v>171</v>
      </c>
      <c r="F16" s="12"/>
      <c r="G16" s="108" t="n">
        <v>0</v>
      </c>
    </row>
    <row r="17">
      <c r="A17" s="93" t="s">
        <v>138</v>
      </c>
      <c r="B17" s="93"/>
      <c r="C17" s="114" t="n">
        <v>1600</v>
      </c>
      <c r="D17" s="93"/>
      <c r="E17" s="12" t="s">
        <v>172</v>
      </c>
      <c r="F17" s="12"/>
      <c r="G17" s="108" t="n">
        <v>0</v>
      </c>
    </row>
    <row r="18">
      <c r="A18" s="93" t="s">
        <v>139</v>
      </c>
      <c r="B18" s="93"/>
      <c r="C18" s="98" t="n">
        <v>0</v>
      </c>
      <c r="D18" s="93"/>
      <c r="E18" s="12" t="s">
        <v>173</v>
      </c>
      <c r="F18" s="12"/>
      <c r="G18" s="58" t="n">
        <f>SUM(G13:G17)</f>
        <v>1800</v>
      </c>
    </row>
    <row r="19">
      <c r="A19" s="93" t="s">
        <v>140</v>
      </c>
      <c r="B19" s="93"/>
      <c r="C19" s="98" t="n">
        <v>0</v>
      </c>
      <c r="D19" s="93"/>
    </row>
    <row r="20">
      <c r="A20" s="93" t="s">
        <v>141</v>
      </c>
      <c r="B20" s="93"/>
      <c r="C20" s="98" t="n">
        <v>0</v>
      </c>
      <c r="D20" s="93"/>
    </row>
    <row r="21">
      <c r="A21" s="93" t="s">
        <v>142</v>
      </c>
      <c r="B21" s="93"/>
      <c r="C21" s="98" t="n">
        <v>1600</v>
      </c>
      <c r="D21" s="93"/>
      <c r="E21" s="12"/>
      <c r="F21" s="12"/>
    </row>
    <row r="22">
      <c r="A22" s="93" t="s">
        <v>143</v>
      </c>
      <c r="B22" s="93"/>
      <c r="C22" s="98" t="n">
        <v>0</v>
      </c>
      <c r="D22" s="93"/>
      <c r="E22" s="124" t="s">
        <v>38</v>
      </c>
      <c r="F22" s="93"/>
      <c r="G22" s="114" t="n">
        <v>6600</v>
      </c>
    </row>
    <row r="23">
      <c r="A23" s="93" t="s">
        <v>144</v>
      </c>
      <c r="B23" s="93"/>
      <c r="C23" s="98" t="n">
        <v>0</v>
      </c>
      <c r="D23" s="93"/>
      <c r="E23" s="93" t="s">
        <v>174</v>
      </c>
      <c r="F23" s="93"/>
      <c r="G23" s="114" t="n">
        <v>0</v>
      </c>
    </row>
    <row r="24">
      <c r="A24" s="93" t="s">
        <v>145</v>
      </c>
      <c r="B24" s="93"/>
      <c r="C24" s="98" t="n">
        <v>0</v>
      </c>
      <c r="D24" s="93"/>
      <c r="E24" s="12" t="s">
        <v>175</v>
      </c>
      <c r="F24" s="12"/>
      <c r="G24" s="108" t="n">
        <v>0</v>
      </c>
    </row>
    <row r="25">
      <c r="A25" s="93" t="s">
        <v>146</v>
      </c>
      <c r="B25" s="93"/>
      <c r="C25" s="114" t="n">
        <v>22654.25</v>
      </c>
      <c r="D25" s="93"/>
    </row>
    <row r="28">
      <c r="B28" s="104" t="s">
        <v>156</v>
      </c>
      <c r="C28" s="115" t="n">
        <v>90347.5</v>
      </c>
      <c r="D28" s="119"/>
      <c r="E28" s="119"/>
      <c r="F28" s="104" t="s">
        <v>176</v>
      </c>
      <c r="G28" s="115" t="n">
        <f>C28-G18+G22+G23+G24</f>
        <v>95147.5</v>
      </c>
    </row>
    <row r="30">
      <c r="A30" s="94" t="s">
        <v>147</v>
      </c>
      <c r="B30" s="105"/>
      <c r="C30" s="105"/>
      <c r="D30" s="105"/>
      <c r="E30" s="105"/>
      <c r="F30" s="105"/>
      <c r="G30" s="134"/>
    </row>
    <row r="31">
      <c r="A31" s="95" t="s">
        <v>148</v>
      </c>
      <c r="B31" s="106"/>
      <c r="C31" s="47" t="s">
        <v>157</v>
      </c>
      <c r="D31" s="120" t="s">
        <v>158</v>
      </c>
      <c r="E31" s="120"/>
      <c r="F31" s="120"/>
      <c r="G31" s="135"/>
    </row>
    <row r="32">
      <c r="A32" s="96" t="s">
        <v>149</v>
      </c>
      <c r="B32" s="98" t="n">
        <v>36.36</v>
      </c>
      <c r="C32" s="116" t="n">
        <v>0</v>
      </c>
      <c r="D32" s="121" t="s">
        <v>159</v>
      </c>
      <c r="E32" s="125" t="n">
        <v>0</v>
      </c>
      <c r="F32" s="121" t="s">
        <v>177</v>
      </c>
      <c r="G32" s="136" t="n">
        <v>0</v>
      </c>
    </row>
    <row r="33">
      <c r="A33" s="96" t="s">
        <v>150</v>
      </c>
      <c r="B33" s="107" t="n">
        <v>14.64</v>
      </c>
      <c r="C33" s="12"/>
      <c r="D33" s="121" t="s">
        <v>160</v>
      </c>
      <c r="E33" s="126" t="n">
        <v>18</v>
      </c>
      <c r="F33" s="121" t="s">
        <v>178</v>
      </c>
      <c r="G33" s="137" t="n">
        <v>0</v>
      </c>
    </row>
    <row r="34">
      <c r="A34" s="96" t="s">
        <v>151</v>
      </c>
      <c r="B34" s="108" t="n">
        <v>9</v>
      </c>
      <c r="C34" s="116" t="n">
        <v>0</v>
      </c>
      <c r="D34" s="121" t="s">
        <v>161</v>
      </c>
      <c r="E34" s="126" t="n">
        <v>27</v>
      </c>
      <c r="F34" s="121" t="s">
        <v>179</v>
      </c>
      <c r="G34" s="137" t="n">
        <v>54</v>
      </c>
    </row>
    <row r="35">
      <c r="A35" s="96" t="s">
        <v>152</v>
      </c>
      <c r="B35" s="107" t="n">
        <f>B32+B33-B34</f>
        <v>42</v>
      </c>
      <c r="C35" s="107" t="n">
        <f>C32-C34</f>
        <v>0</v>
      </c>
      <c r="D35" s="121"/>
      <c r="E35" s="127"/>
      <c r="F35" s="121"/>
      <c r="G35" s="138"/>
    </row>
    <row r="36">
      <c r="A36" s="97"/>
      <c r="B36" s="109"/>
      <c r="C36" s="109"/>
      <c r="D36" s="109"/>
      <c r="E36" s="109"/>
      <c r="F36" s="109"/>
      <c r="G36" s="139"/>
    </row>
    <row r="39">
      <c r="A39" s="98"/>
      <c r="B39" s="98"/>
    </row>
    <row r="40">
      <c r="A40" s="35" t="s">
        <v>153</v>
      </c>
    </row>
    <row r="41">
      <c r="A41" s="35" t="s">
        <v>154</v>
      </c>
    </row>
  </sheetData>
  <mergeCells>
    <mergeCell ref="A31:B31"/>
    <mergeCell ref="D31:G31"/>
    <mergeCell ref="A23:B23"/>
    <mergeCell ref="E23:F23"/>
    <mergeCell ref="A24:B24"/>
    <mergeCell ref="E24:F24"/>
    <mergeCell ref="A25:B25"/>
    <mergeCell ref="A30:G30"/>
    <mergeCell ref="A20:B20"/>
    <mergeCell ref="A21:B21"/>
    <mergeCell ref="E21:F21"/>
    <mergeCell ref="A22:B22"/>
    <mergeCell ref="E22:F22"/>
    <mergeCell ref="E17:F17"/>
    <mergeCell ref="A17:B17"/>
    <mergeCell ref="A18:B18"/>
    <mergeCell ref="E18:F18"/>
    <mergeCell ref="A19:B19"/>
    <mergeCell ref="A14:B14"/>
    <mergeCell ref="E14:F14"/>
    <mergeCell ref="A15:B15"/>
    <mergeCell ref="E15:F15"/>
    <mergeCell ref="A16:B16"/>
    <mergeCell ref="E16:F16"/>
    <mergeCell ref="A9:B9"/>
    <mergeCell ref="E9:F9"/>
    <mergeCell ref="E10:F10"/>
    <mergeCell ref="E11:F11"/>
    <mergeCell ref="A13:B13"/>
    <mergeCell ref="E13:F13"/>
    <mergeCell ref="A8:B8"/>
    <mergeCell ref="E8:F8"/>
    <mergeCell ref="B1:G4"/>
    <mergeCell ref="A6:B6"/>
    <mergeCell ref="E6:F6"/>
    <mergeCell ref="A7:B7"/>
    <mergeCell ref="E7:F7"/>
  </mergeCells>
  <pageMargins bottom="0.75" footer="0.3" header="0.3" left="0.7" right="0.7" top="0.75"/>
  <pageSetup paperSize="1" orientation="portrait" scale="69"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true"/>
  </sheetPr>
  <dimension ref="A1:G41"/>
  <sheetViews>
    <sheetView zoomScale="95" topLeftCell="A1" workbookViewId="0" showGridLines="true" showRowColHeaders="true">
      <selection activeCell="H1" sqref="H1:H1"/>
    </sheetView>
  </sheetViews>
  <sheetFormatPr customHeight="false" defaultColWidth="20.57421875" defaultRowHeight="15"/>
  <cols>
    <col min="1" max="1" bestFit="false" customWidth="true" width="20.421875" hidden="false" outlineLevel="0"/>
    <col min="2" max="2" bestFit="false" customWidth="true" width="15.57421875" hidden="false" outlineLevel="0"/>
    <col min="3" max="3" bestFit="false" customWidth="true" width="20.57421875" hidden="false" outlineLevel="0"/>
    <col min="4" max="4" bestFit="false" customWidth="true" width="10.57421875" hidden="false" outlineLevel="0"/>
    <col min="5" max="6" bestFit="false" customWidth="true" width="15.57421875" hidden="false" outlineLevel="0"/>
    <col min="7" max="7" bestFit="false" customWidth="true" width="31.7109375" hidden="false" outlineLevel="0"/>
  </cols>
  <sheetData>
    <row r="1" ht="21" customHeight="true">
      <c r="B1" s="99" t="s">
        <v>155</v>
      </c>
      <c r="C1" s="99"/>
      <c r="D1" s="99"/>
      <c r="E1" s="99"/>
      <c r="F1" s="99"/>
      <c r="G1" s="99"/>
    </row>
    <row r="2" ht="14.25" customHeight="true">
      <c r="B2" s="100"/>
      <c r="C2" s="100"/>
      <c r="D2" s="100"/>
      <c r="E2" s="100"/>
      <c r="F2" s="100"/>
      <c r="G2" s="100"/>
    </row>
    <row r="3" ht="14.25" customHeight="true">
      <c r="B3" s="100"/>
      <c r="C3" s="100"/>
      <c r="D3" s="100"/>
      <c r="E3" s="100"/>
      <c r="F3" s="100"/>
      <c r="G3" s="100"/>
    </row>
    <row r="4" ht="14.25" customHeight="true">
      <c r="B4" s="100"/>
      <c r="C4" s="100"/>
      <c r="D4" s="100"/>
      <c r="E4" s="100"/>
      <c r="F4" s="100"/>
      <c r="G4" s="100"/>
    </row>
    <row r="6">
      <c r="A6" s="90" t="s">
        <v>130</v>
      </c>
      <c r="B6" s="101"/>
      <c r="C6" s="110" t="s">
        <v>19</v>
      </c>
      <c r="D6" s="117"/>
      <c r="E6" s="90" t="s">
        <v>162</v>
      </c>
      <c r="F6" s="101"/>
      <c r="G6" s="110" t="s">
        <v>185</v>
      </c>
    </row>
    <row r="7">
      <c r="A7" s="91" t="s">
        <v>131</v>
      </c>
      <c r="B7" s="102"/>
      <c r="C7" s="111"/>
      <c r="D7" s="117"/>
      <c r="E7" s="91" t="s">
        <v>163</v>
      </c>
      <c r="F7" s="102"/>
      <c r="G7" s="111"/>
    </row>
    <row r="8">
      <c r="A8" s="91" t="s">
        <v>132</v>
      </c>
      <c r="B8" s="102"/>
      <c r="C8" s="112" t="n">
        <v>916010026066919</v>
      </c>
      <c r="D8" s="118"/>
      <c r="E8" s="91" t="s">
        <v>164</v>
      </c>
      <c r="F8" s="102"/>
      <c r="G8" s="130" t="s">
        <v>186</v>
      </c>
    </row>
    <row r="9">
      <c r="A9" s="92" t="s">
        <v>133</v>
      </c>
      <c r="B9" s="103"/>
      <c r="C9" s="113" t="n">
        <v>46113</v>
      </c>
      <c r="D9" s="117"/>
      <c r="E9" s="91" t="s">
        <v>165</v>
      </c>
      <c r="F9" s="102"/>
      <c r="G9" s="131" t="n">
        <v>23</v>
      </c>
    </row>
    <row r="10">
      <c r="E10" s="122" t="s">
        <v>166</v>
      </c>
      <c r="F10" s="128"/>
      <c r="G10" s="132" t="n">
        <v>27360.84</v>
      </c>
    </row>
    <row r="11">
      <c r="E11" s="123" t="s">
        <v>167</v>
      </c>
      <c r="F11" s="129"/>
      <c r="G11" s="133" t="n">
        <v>202.3</v>
      </c>
    </row>
    <row r="13">
      <c r="A13" s="93" t="s">
        <v>134</v>
      </c>
      <c r="B13" s="93"/>
      <c r="C13" s="114" t="n">
        <v>15027.86</v>
      </c>
      <c r="E13" s="12" t="s">
        <v>168</v>
      </c>
      <c r="F13" s="12"/>
      <c r="G13" s="98" t="n">
        <v>1800</v>
      </c>
    </row>
    <row r="14">
      <c r="A14" s="93" t="s">
        <v>135</v>
      </c>
      <c r="B14" s="93"/>
      <c r="C14" s="114" t="n">
        <v>6011.14</v>
      </c>
      <c r="D14" s="93"/>
      <c r="E14" s="12" t="s">
        <v>169</v>
      </c>
      <c r="F14" s="12"/>
      <c r="G14" s="108" t="n">
        <v>0</v>
      </c>
    </row>
    <row r="15">
      <c r="A15" s="93" t="s">
        <v>136</v>
      </c>
      <c r="B15" s="93"/>
      <c r="C15" s="114" t="n">
        <v>0</v>
      </c>
      <c r="D15" s="93"/>
      <c r="E15" s="12" t="s">
        <v>170</v>
      </c>
      <c r="F15" s="12"/>
      <c r="G15" s="108" t="n">
        <v>0</v>
      </c>
    </row>
    <row r="16">
      <c r="A16" s="93" t="s">
        <v>137</v>
      </c>
      <c r="B16" s="93"/>
      <c r="C16" s="114" t="n">
        <v>1250</v>
      </c>
      <c r="D16" s="93"/>
      <c r="E16" s="12" t="s">
        <v>171</v>
      </c>
      <c r="F16" s="12"/>
      <c r="G16" s="108" t="n">
        <v>0</v>
      </c>
    </row>
    <row r="17">
      <c r="A17" s="93" t="s">
        <v>138</v>
      </c>
      <c r="B17" s="93"/>
      <c r="C17" s="114" t="n">
        <v>1600</v>
      </c>
      <c r="D17" s="93"/>
      <c r="E17" s="12" t="s">
        <v>172</v>
      </c>
      <c r="F17" s="12"/>
      <c r="G17" s="108" t="n">
        <v>0</v>
      </c>
    </row>
    <row r="18">
      <c r="A18" s="93" t="s">
        <v>139</v>
      </c>
      <c r="B18" s="93"/>
      <c r="C18" s="98" t="n">
        <v>0</v>
      </c>
      <c r="D18" s="93"/>
      <c r="E18" s="12" t="s">
        <v>173</v>
      </c>
      <c r="F18" s="12"/>
      <c r="G18" s="58" t="n">
        <f>SUM(G13:G17)</f>
        <v>1800</v>
      </c>
    </row>
    <row r="19">
      <c r="A19" s="93" t="s">
        <v>140</v>
      </c>
      <c r="B19" s="93"/>
      <c r="C19" s="98" t="n">
        <v>0</v>
      </c>
      <c r="D19" s="93"/>
    </row>
    <row r="20">
      <c r="A20" s="93" t="s">
        <v>141</v>
      </c>
      <c r="B20" s="93"/>
      <c r="C20" s="98" t="n">
        <v>0</v>
      </c>
      <c r="D20" s="93"/>
    </row>
    <row r="21">
      <c r="A21" s="93" t="s">
        <v>142</v>
      </c>
      <c r="B21" s="93"/>
      <c r="C21" s="98" t="n">
        <v>1600</v>
      </c>
      <c r="D21" s="93"/>
      <c r="E21" s="12"/>
      <c r="F21" s="12"/>
    </row>
    <row r="22">
      <c r="A22" s="93" t="s">
        <v>143</v>
      </c>
      <c r="B22" s="93"/>
      <c r="C22" s="98" t="n">
        <v>0</v>
      </c>
      <c r="D22" s="93"/>
      <c r="E22" s="124" t="s">
        <v>38</v>
      </c>
      <c r="F22" s="93"/>
      <c r="G22" s="114" t="n">
        <v>150</v>
      </c>
    </row>
    <row r="23">
      <c r="A23" s="93" t="s">
        <v>144</v>
      </c>
      <c r="B23" s="93"/>
      <c r="C23" s="98" t="n">
        <v>0</v>
      </c>
      <c r="D23" s="93"/>
      <c r="E23" s="93" t="s">
        <v>174</v>
      </c>
      <c r="F23" s="93"/>
      <c r="G23" s="114" t="n">
        <v>0</v>
      </c>
    </row>
    <row r="24">
      <c r="A24" s="93" t="s">
        <v>145</v>
      </c>
      <c r="B24" s="93"/>
      <c r="C24" s="98" t="n">
        <v>0</v>
      </c>
      <c r="D24" s="93"/>
      <c r="E24" s="12" t="s">
        <v>175</v>
      </c>
      <c r="F24" s="12"/>
      <c r="G24" s="108" t="n">
        <v>0</v>
      </c>
    </row>
    <row r="25">
      <c r="A25" s="93" t="s">
        <v>146</v>
      </c>
      <c r="B25" s="93"/>
      <c r="C25" s="114" t="n">
        <v>4566.71</v>
      </c>
      <c r="D25" s="93"/>
    </row>
    <row r="28">
      <c r="B28" s="104" t="s">
        <v>156</v>
      </c>
      <c r="C28" s="115" t="n">
        <v>30055.71</v>
      </c>
      <c r="D28" s="119"/>
      <c r="E28" s="119"/>
      <c r="F28" s="104" t="s">
        <v>176</v>
      </c>
      <c r="G28" s="115" t="n">
        <f>C28-G18+G22+G23+G24</f>
        <v>28405.71</v>
      </c>
    </row>
    <row r="30">
      <c r="A30" s="94" t="s">
        <v>147</v>
      </c>
      <c r="B30" s="105"/>
      <c r="C30" s="105"/>
      <c r="D30" s="105"/>
      <c r="E30" s="105"/>
      <c r="F30" s="105"/>
      <c r="G30" s="134"/>
    </row>
    <row r="31">
      <c r="A31" s="95" t="s">
        <v>148</v>
      </c>
      <c r="B31" s="106"/>
      <c r="C31" s="47" t="s">
        <v>157</v>
      </c>
      <c r="D31" s="120" t="s">
        <v>158</v>
      </c>
      <c r="E31" s="120"/>
      <c r="F31" s="120"/>
      <c r="G31" s="135"/>
    </row>
    <row r="32">
      <c r="A32" s="96" t="s">
        <v>149</v>
      </c>
      <c r="B32" s="98" t="n">
        <v>43.43</v>
      </c>
      <c r="C32" s="116" t="n">
        <v>0</v>
      </c>
      <c r="D32" s="121" t="s">
        <v>159</v>
      </c>
      <c r="E32" s="125" t="n">
        <v>0</v>
      </c>
      <c r="F32" s="121" t="s">
        <v>177</v>
      </c>
      <c r="G32" s="136" t="n">
        <v>0</v>
      </c>
    </row>
    <row r="33">
      <c r="A33" s="96" t="s">
        <v>150</v>
      </c>
      <c r="B33" s="107" t="n">
        <v>11.38</v>
      </c>
      <c r="C33" s="12"/>
      <c r="D33" s="121" t="s">
        <v>160</v>
      </c>
      <c r="E33" s="126" t="n">
        <v>18</v>
      </c>
      <c r="F33" s="121" t="s">
        <v>178</v>
      </c>
      <c r="G33" s="137" t="n">
        <v>0</v>
      </c>
    </row>
    <row r="34">
      <c r="A34" s="96" t="s">
        <v>151</v>
      </c>
      <c r="B34" s="108" t="n">
        <v>0</v>
      </c>
      <c r="C34" s="116" t="n">
        <v>0</v>
      </c>
      <c r="D34" s="121" t="s">
        <v>161</v>
      </c>
      <c r="E34" s="126" t="n">
        <v>27.5</v>
      </c>
      <c r="F34" s="121" t="s">
        <v>179</v>
      </c>
      <c r="G34" s="137" t="n">
        <v>39.5</v>
      </c>
    </row>
    <row r="35">
      <c r="A35" s="96" t="s">
        <v>152</v>
      </c>
      <c r="B35" s="107" t="n">
        <f>B32+B33-B34</f>
        <v>54.81</v>
      </c>
      <c r="C35" s="107" t="n">
        <f>C32-C34</f>
        <v>0</v>
      </c>
      <c r="D35" s="121"/>
      <c r="E35" s="127"/>
      <c r="F35" s="121"/>
      <c r="G35" s="138"/>
    </row>
    <row r="36">
      <c r="A36" s="97"/>
      <c r="B36" s="109"/>
      <c r="C36" s="109"/>
      <c r="D36" s="109"/>
      <c r="E36" s="109"/>
      <c r="F36" s="109"/>
      <c r="G36" s="139"/>
    </row>
    <row r="39">
      <c r="A39" s="98"/>
      <c r="B39" s="98"/>
    </row>
    <row r="40">
      <c r="A40" s="35" t="s">
        <v>153</v>
      </c>
    </row>
    <row r="41">
      <c r="A41" s="35" t="s">
        <v>154</v>
      </c>
    </row>
  </sheetData>
  <mergeCells>
    <mergeCell ref="A31:B31"/>
    <mergeCell ref="D31:G31"/>
    <mergeCell ref="A23:B23"/>
    <mergeCell ref="E23:F23"/>
    <mergeCell ref="A24:B24"/>
    <mergeCell ref="E24:F24"/>
    <mergeCell ref="A25:B25"/>
    <mergeCell ref="A30:G30"/>
    <mergeCell ref="A20:B20"/>
    <mergeCell ref="A21:B21"/>
    <mergeCell ref="E21:F21"/>
    <mergeCell ref="A22:B22"/>
    <mergeCell ref="E22:F22"/>
    <mergeCell ref="E17:F17"/>
    <mergeCell ref="A17:B17"/>
    <mergeCell ref="A18:B18"/>
    <mergeCell ref="E18:F18"/>
    <mergeCell ref="A19:B19"/>
    <mergeCell ref="A14:B14"/>
    <mergeCell ref="E14:F14"/>
    <mergeCell ref="A15:B15"/>
    <mergeCell ref="E15:F15"/>
    <mergeCell ref="A16:B16"/>
    <mergeCell ref="E16:F16"/>
    <mergeCell ref="A9:B9"/>
    <mergeCell ref="E9:F9"/>
    <mergeCell ref="E10:F10"/>
    <mergeCell ref="E11:F11"/>
    <mergeCell ref="A13:B13"/>
    <mergeCell ref="E13:F13"/>
    <mergeCell ref="A8:B8"/>
    <mergeCell ref="E8:F8"/>
    <mergeCell ref="B1:G4"/>
    <mergeCell ref="A6:B6"/>
    <mergeCell ref="E6:F6"/>
    <mergeCell ref="A7:B7"/>
    <mergeCell ref="E7:F7"/>
  </mergeCells>
  <pageMargins bottom="0.75" footer="0.3" header="0.3" left="0.7" right="0.7" top="0.75"/>
  <pageSetup paperSize="1" orientation="portrait" scale="69"/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true"/>
  </sheetPr>
  <dimension ref="A1:G41"/>
  <sheetViews>
    <sheetView zoomScale="95" topLeftCell="A1" workbookViewId="0" showGridLines="true" showRowColHeaders="true">
      <selection activeCell="H1" sqref="H1:H1"/>
    </sheetView>
  </sheetViews>
  <sheetFormatPr customHeight="false" defaultColWidth="20.57421875" defaultRowHeight="15"/>
  <cols>
    <col min="1" max="1" bestFit="false" customWidth="true" width="20.421875" hidden="false" outlineLevel="0"/>
    <col min="2" max="2" bestFit="false" customWidth="true" width="15.57421875" hidden="false" outlineLevel="0"/>
    <col min="3" max="3" bestFit="false" customWidth="true" width="20.57421875" hidden="false" outlineLevel="0"/>
    <col min="4" max="4" bestFit="false" customWidth="true" width="10.57421875" hidden="false" outlineLevel="0"/>
    <col min="5" max="6" bestFit="false" customWidth="true" width="15.57421875" hidden="false" outlineLevel="0"/>
    <col min="7" max="7" bestFit="false" customWidth="true" width="31.7109375" hidden="false" outlineLevel="0"/>
  </cols>
  <sheetData>
    <row r="1" ht="21" customHeight="true">
      <c r="B1" s="99" t="s">
        <v>155</v>
      </c>
      <c r="C1" s="99"/>
      <c r="D1" s="99"/>
      <c r="E1" s="99"/>
      <c r="F1" s="99"/>
      <c r="G1" s="99"/>
    </row>
    <row r="2" ht="14.25" customHeight="true">
      <c r="B2" s="100"/>
      <c r="C2" s="100"/>
      <c r="D2" s="100"/>
      <c r="E2" s="100"/>
      <c r="F2" s="100"/>
      <c r="G2" s="100"/>
    </row>
    <row r="3" ht="14.25" customHeight="true">
      <c r="B3" s="100"/>
      <c r="C3" s="100"/>
      <c r="D3" s="100"/>
      <c r="E3" s="100"/>
      <c r="F3" s="100"/>
      <c r="G3" s="100"/>
    </row>
    <row r="4" ht="14.25" customHeight="true">
      <c r="B4" s="100"/>
      <c r="C4" s="100"/>
      <c r="D4" s="100"/>
      <c r="E4" s="100"/>
      <c r="F4" s="100"/>
      <c r="G4" s="100"/>
    </row>
    <row r="6">
      <c r="A6" s="90" t="s">
        <v>130</v>
      </c>
      <c r="B6" s="101"/>
      <c r="C6" s="110" t="s">
        <v>14</v>
      </c>
      <c r="D6" s="117"/>
      <c r="E6" s="90" t="s">
        <v>162</v>
      </c>
      <c r="F6" s="101"/>
      <c r="G6" s="110" t="s">
        <v>187</v>
      </c>
    </row>
    <row r="7">
      <c r="A7" s="91" t="s">
        <v>131</v>
      </c>
      <c r="B7" s="102"/>
      <c r="C7" s="111"/>
      <c r="D7" s="117"/>
      <c r="E7" s="91" t="s">
        <v>163</v>
      </c>
      <c r="F7" s="102"/>
      <c r="G7" s="111"/>
    </row>
    <row r="8">
      <c r="A8" s="91" t="s">
        <v>132</v>
      </c>
      <c r="B8" s="102"/>
      <c r="C8" s="112" t="n">
        <v>30900100004186</v>
      </c>
      <c r="D8" s="118"/>
      <c r="E8" s="91" t="s">
        <v>164</v>
      </c>
      <c r="F8" s="102"/>
      <c r="G8" s="130"/>
    </row>
    <row r="9">
      <c r="A9" s="92" t="s">
        <v>133</v>
      </c>
      <c r="B9" s="103"/>
      <c r="C9" s="113" t="n">
        <v>46113</v>
      </c>
      <c r="D9" s="117"/>
      <c r="E9" s="91" t="s">
        <v>165</v>
      </c>
      <c r="F9" s="102"/>
      <c r="G9" s="131" t="n">
        <v>23</v>
      </c>
    </row>
    <row r="10">
      <c r="E10" s="122" t="s">
        <v>166</v>
      </c>
      <c r="F10" s="128"/>
      <c r="G10" s="132" t="n">
        <v>38585.48</v>
      </c>
    </row>
    <row r="11">
      <c r="E11" s="123" t="s">
        <v>167</v>
      </c>
      <c r="F11" s="129"/>
      <c r="G11" s="133" t="n">
        <v>162.97</v>
      </c>
    </row>
    <row r="13">
      <c r="A13" s="93" t="s">
        <v>134</v>
      </c>
      <c r="B13" s="93"/>
      <c r="C13" s="114" t="n">
        <v>19685.1</v>
      </c>
      <c r="E13" s="12" t="s">
        <v>168</v>
      </c>
      <c r="F13" s="12"/>
      <c r="G13" s="98" t="n">
        <v>1800</v>
      </c>
    </row>
    <row r="14">
      <c r="A14" s="93" t="s">
        <v>135</v>
      </c>
      <c r="B14" s="93"/>
      <c r="C14" s="114" t="n">
        <v>7874.04</v>
      </c>
      <c r="D14" s="93"/>
      <c r="E14" s="12" t="s">
        <v>169</v>
      </c>
      <c r="F14" s="12"/>
      <c r="G14" s="108" t="n">
        <v>0</v>
      </c>
    </row>
    <row r="15">
      <c r="A15" s="93" t="s">
        <v>136</v>
      </c>
      <c r="B15" s="93"/>
      <c r="C15" s="114" t="n">
        <v>0</v>
      </c>
      <c r="D15" s="93"/>
      <c r="E15" s="12" t="s">
        <v>170</v>
      </c>
      <c r="F15" s="12"/>
      <c r="G15" s="108" t="n">
        <v>0</v>
      </c>
    </row>
    <row r="16">
      <c r="A16" s="93" t="s">
        <v>137</v>
      </c>
      <c r="B16" s="93"/>
      <c r="C16" s="114" t="n">
        <v>1250</v>
      </c>
      <c r="D16" s="93"/>
      <c r="E16" s="12" t="s">
        <v>171</v>
      </c>
      <c r="F16" s="12"/>
      <c r="G16" s="108" t="n">
        <v>0</v>
      </c>
    </row>
    <row r="17">
      <c r="A17" s="93" t="s">
        <v>138</v>
      </c>
      <c r="B17" s="93"/>
      <c r="C17" s="114" t="n">
        <v>1600</v>
      </c>
      <c r="D17" s="93"/>
      <c r="E17" s="12" t="s">
        <v>172</v>
      </c>
      <c r="F17" s="12"/>
      <c r="G17" s="108" t="n">
        <v>0</v>
      </c>
    </row>
    <row r="18">
      <c r="A18" s="93" t="s">
        <v>139</v>
      </c>
      <c r="B18" s="93"/>
      <c r="C18" s="98" t="n">
        <v>0</v>
      </c>
      <c r="D18" s="93"/>
      <c r="E18" s="12" t="s">
        <v>173</v>
      </c>
      <c r="F18" s="12"/>
      <c r="G18" s="58" t="n">
        <f>SUM(G13:G17)</f>
        <v>1800</v>
      </c>
    </row>
    <row r="19">
      <c r="A19" s="93" t="s">
        <v>140</v>
      </c>
      <c r="B19" s="93"/>
      <c r="C19" s="98" t="n">
        <v>0</v>
      </c>
      <c r="D19" s="93"/>
    </row>
    <row r="20">
      <c r="A20" s="93" t="s">
        <v>141</v>
      </c>
      <c r="B20" s="93"/>
      <c r="C20" s="98" t="n">
        <v>0</v>
      </c>
      <c r="D20" s="93"/>
    </row>
    <row r="21">
      <c r="A21" s="93" t="s">
        <v>142</v>
      </c>
      <c r="B21" s="93"/>
      <c r="C21" s="98" t="n">
        <v>1600</v>
      </c>
      <c r="D21" s="93"/>
      <c r="E21" s="12"/>
      <c r="F21" s="12"/>
    </row>
    <row r="22">
      <c r="A22" s="93" t="s">
        <v>143</v>
      </c>
      <c r="B22" s="93"/>
      <c r="C22" s="98" t="n">
        <v>0</v>
      </c>
      <c r="D22" s="93"/>
      <c r="E22" s="124" t="s">
        <v>38</v>
      </c>
      <c r="F22" s="93"/>
      <c r="G22" s="114" t="n">
        <v>5400</v>
      </c>
    </row>
    <row r="23">
      <c r="A23" s="93" t="s">
        <v>144</v>
      </c>
      <c r="B23" s="93"/>
      <c r="C23" s="98" t="n">
        <v>0</v>
      </c>
      <c r="D23" s="93"/>
      <c r="E23" s="93" t="s">
        <v>174</v>
      </c>
      <c r="F23" s="93"/>
      <c r="G23" s="114" t="n">
        <v>0</v>
      </c>
    </row>
    <row r="24">
      <c r="A24" s="93" t="s">
        <v>145</v>
      </c>
      <c r="B24" s="93"/>
      <c r="C24" s="98" t="n">
        <v>0</v>
      </c>
      <c r="D24" s="93"/>
      <c r="E24" s="12" t="s">
        <v>175</v>
      </c>
      <c r="F24" s="12"/>
      <c r="G24" s="108" t="n">
        <v>0</v>
      </c>
    </row>
    <row r="25">
      <c r="A25" s="93" t="s">
        <v>146</v>
      </c>
      <c r="B25" s="93"/>
      <c r="C25" s="114" t="n">
        <v>7361.05</v>
      </c>
      <c r="D25" s="93"/>
    </row>
    <row r="28">
      <c r="B28" s="104" t="s">
        <v>156</v>
      </c>
      <c r="C28" s="115" t="n">
        <v>39370.19</v>
      </c>
      <c r="D28" s="119"/>
      <c r="E28" s="119"/>
      <c r="F28" s="104" t="s">
        <v>176</v>
      </c>
      <c r="G28" s="115" t="n">
        <f>C28-G18+G22+G23+G24</f>
        <v>42970.19</v>
      </c>
    </row>
    <row r="30">
      <c r="A30" s="94" t="s">
        <v>147</v>
      </c>
      <c r="B30" s="105"/>
      <c r="C30" s="105"/>
      <c r="D30" s="105"/>
      <c r="E30" s="105"/>
      <c r="F30" s="105"/>
      <c r="G30" s="134"/>
    </row>
    <row r="31">
      <c r="A31" s="95" t="s">
        <v>148</v>
      </c>
      <c r="B31" s="106"/>
      <c r="C31" s="47" t="s">
        <v>157</v>
      </c>
      <c r="D31" s="120" t="s">
        <v>158</v>
      </c>
      <c r="E31" s="120"/>
      <c r="F31" s="120"/>
      <c r="G31" s="135"/>
    </row>
    <row r="32">
      <c r="A32" s="96" t="s">
        <v>149</v>
      </c>
      <c r="B32" s="98" t="n">
        <v>88.99</v>
      </c>
      <c r="C32" s="116" t="n">
        <v>0</v>
      </c>
      <c r="D32" s="121" t="s">
        <v>159</v>
      </c>
      <c r="E32" s="125" t="n">
        <v>9</v>
      </c>
      <c r="F32" s="121" t="s">
        <v>177</v>
      </c>
      <c r="G32" s="136" t="n">
        <v>9</v>
      </c>
    </row>
    <row r="33">
      <c r="A33" s="96" t="s">
        <v>150</v>
      </c>
      <c r="B33" s="107" t="n">
        <v>9.17</v>
      </c>
      <c r="C33" s="12"/>
      <c r="D33" s="121" t="s">
        <v>160</v>
      </c>
      <c r="E33" s="126" t="n">
        <v>18</v>
      </c>
      <c r="F33" s="121" t="s">
        <v>178</v>
      </c>
      <c r="G33" s="137" t="n">
        <v>0</v>
      </c>
    </row>
    <row r="34">
      <c r="A34" s="96" t="s">
        <v>151</v>
      </c>
      <c r="B34" s="108" t="n">
        <v>9</v>
      </c>
      <c r="C34" s="116" t="n">
        <v>9</v>
      </c>
      <c r="D34" s="121" t="s">
        <v>161</v>
      </c>
      <c r="E34" s="126" t="n">
        <v>18</v>
      </c>
      <c r="F34" s="121" t="s">
        <v>179</v>
      </c>
      <c r="G34" s="137" t="n">
        <v>54</v>
      </c>
    </row>
    <row r="35">
      <c r="A35" s="96" t="s">
        <v>152</v>
      </c>
      <c r="B35" s="107" t="n">
        <f>B32+B33-B34</f>
        <v>89.16</v>
      </c>
      <c r="C35" s="107" t="n">
        <f>C32-C34</f>
        <v>-9</v>
      </c>
      <c r="D35" s="121"/>
      <c r="E35" s="127"/>
      <c r="F35" s="121"/>
      <c r="G35" s="138"/>
    </row>
    <row r="36">
      <c r="A36" s="97"/>
      <c r="B36" s="109"/>
      <c r="C36" s="109"/>
      <c r="D36" s="109"/>
      <c r="E36" s="109"/>
      <c r="F36" s="109"/>
      <c r="G36" s="139"/>
    </row>
    <row r="39">
      <c r="A39" s="98"/>
      <c r="B39" s="98"/>
    </row>
    <row r="40">
      <c r="A40" s="35" t="s">
        <v>153</v>
      </c>
    </row>
    <row r="41">
      <c r="A41" s="35" t="s">
        <v>154</v>
      </c>
    </row>
  </sheetData>
  <mergeCells>
    <mergeCell ref="A31:B31"/>
    <mergeCell ref="D31:G31"/>
    <mergeCell ref="A23:B23"/>
    <mergeCell ref="E23:F23"/>
    <mergeCell ref="A24:B24"/>
    <mergeCell ref="E24:F24"/>
    <mergeCell ref="A25:B25"/>
    <mergeCell ref="A30:G30"/>
    <mergeCell ref="A20:B20"/>
    <mergeCell ref="A21:B21"/>
    <mergeCell ref="E21:F21"/>
    <mergeCell ref="A22:B22"/>
    <mergeCell ref="E22:F22"/>
    <mergeCell ref="E17:F17"/>
    <mergeCell ref="A17:B17"/>
    <mergeCell ref="A18:B18"/>
    <mergeCell ref="E18:F18"/>
    <mergeCell ref="A19:B19"/>
    <mergeCell ref="A14:B14"/>
    <mergeCell ref="E14:F14"/>
    <mergeCell ref="A15:B15"/>
    <mergeCell ref="E15:F15"/>
    <mergeCell ref="A16:B16"/>
    <mergeCell ref="E16:F16"/>
    <mergeCell ref="A9:B9"/>
    <mergeCell ref="E9:F9"/>
    <mergeCell ref="E10:F10"/>
    <mergeCell ref="E11:F11"/>
    <mergeCell ref="A13:B13"/>
    <mergeCell ref="E13:F13"/>
    <mergeCell ref="A8:B8"/>
    <mergeCell ref="E8:F8"/>
    <mergeCell ref="B1:G4"/>
    <mergeCell ref="A6:B6"/>
    <mergeCell ref="E6:F6"/>
    <mergeCell ref="A7:B7"/>
    <mergeCell ref="E7:F7"/>
  </mergeCells>
  <pageMargins bottom="0.75" footer="0.3" header="0.3" left="0.7" right="0.7" top="0.75"/>
  <pageSetup paperSize="1" orientation="portrait" scale="69"/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true"/>
  </sheetPr>
  <dimension ref="A1:G41"/>
  <sheetViews>
    <sheetView zoomScale="95" topLeftCell="A1" workbookViewId="0" showGridLines="true" showRowColHeaders="true">
      <selection activeCell="H1" sqref="H1:H1"/>
    </sheetView>
  </sheetViews>
  <sheetFormatPr customHeight="false" defaultColWidth="20.57421875" defaultRowHeight="15"/>
  <cols>
    <col min="1" max="1" bestFit="false" customWidth="true" width="20.421875" hidden="false" outlineLevel="0"/>
    <col min="2" max="2" bestFit="false" customWidth="true" width="15.57421875" hidden="false" outlineLevel="0"/>
    <col min="3" max="3" bestFit="false" customWidth="true" width="20.57421875" hidden="false" outlineLevel="0"/>
    <col min="4" max="4" bestFit="false" customWidth="true" width="10.57421875" hidden="false" outlineLevel="0"/>
    <col min="5" max="6" bestFit="false" customWidth="true" width="15.57421875" hidden="false" outlineLevel="0"/>
    <col min="7" max="7" bestFit="false" customWidth="true" width="31.7109375" hidden="false" outlineLevel="0"/>
  </cols>
  <sheetData>
    <row r="1" ht="21" customHeight="true">
      <c r="B1" s="99" t="s">
        <v>155</v>
      </c>
      <c r="C1" s="99"/>
      <c r="D1" s="99"/>
      <c r="E1" s="99"/>
      <c r="F1" s="99"/>
      <c r="G1" s="99"/>
    </row>
    <row r="2" ht="14.25" customHeight="true">
      <c r="B2" s="100"/>
      <c r="C2" s="100"/>
      <c r="D2" s="100"/>
      <c r="E2" s="100"/>
      <c r="F2" s="100"/>
      <c r="G2" s="100"/>
    </row>
    <row r="3" ht="14.25" customHeight="true">
      <c r="B3" s="100"/>
      <c r="C3" s="100"/>
      <c r="D3" s="100"/>
      <c r="E3" s="100"/>
      <c r="F3" s="100"/>
      <c r="G3" s="100"/>
    </row>
    <row r="4" ht="14.25" customHeight="true">
      <c r="B4" s="100"/>
      <c r="C4" s="100"/>
      <c r="D4" s="100"/>
      <c r="E4" s="100"/>
      <c r="F4" s="100"/>
      <c r="G4" s="100"/>
    </row>
    <row r="6">
      <c r="A6" s="90" t="s">
        <v>130</v>
      </c>
      <c r="B6" s="101"/>
      <c r="C6" s="110" t="s">
        <v>3</v>
      </c>
      <c r="D6" s="117"/>
      <c r="E6" s="90" t="s">
        <v>162</v>
      </c>
      <c r="F6" s="101"/>
      <c r="G6" s="110" t="s">
        <v>189</v>
      </c>
    </row>
    <row r="7">
      <c r="A7" s="91" t="s">
        <v>131</v>
      </c>
      <c r="B7" s="102"/>
      <c r="C7" s="111" t="s">
        <v>188</v>
      </c>
      <c r="D7" s="117"/>
      <c r="E7" s="91" t="s">
        <v>163</v>
      </c>
      <c r="F7" s="102"/>
      <c r="G7" s="111"/>
    </row>
    <row r="8">
      <c r="A8" s="91" t="s">
        <v>132</v>
      </c>
      <c r="B8" s="102"/>
      <c r="C8" s="112" t="n">
        <v>10847818214</v>
      </c>
      <c r="D8" s="118"/>
      <c r="E8" s="91" t="s">
        <v>164</v>
      </c>
      <c r="F8" s="102"/>
      <c r="G8" s="130" t="s">
        <v>190</v>
      </c>
    </row>
    <row r="9">
      <c r="A9" s="92" t="s">
        <v>133</v>
      </c>
      <c r="B9" s="103"/>
      <c r="C9" s="113" t="n">
        <v>46113</v>
      </c>
      <c r="D9" s="117"/>
      <c r="E9" s="91" t="s">
        <v>165</v>
      </c>
      <c r="F9" s="102"/>
      <c r="G9" s="131" t="n">
        <v>23</v>
      </c>
    </row>
    <row r="10">
      <c r="E10" s="122" t="s">
        <v>166</v>
      </c>
      <c r="F10" s="128"/>
      <c r="G10" s="132" t="n">
        <v>22260</v>
      </c>
    </row>
    <row r="11">
      <c r="E11" s="123" t="s">
        <v>167</v>
      </c>
      <c r="F11" s="129"/>
      <c r="G11" s="133" t="n">
        <v>1</v>
      </c>
    </row>
    <row r="13">
      <c r="A13" s="93" t="s">
        <v>134</v>
      </c>
      <c r="B13" s="93"/>
      <c r="C13" s="114" t="n">
        <v>11130</v>
      </c>
      <c r="E13" s="12" t="s">
        <v>168</v>
      </c>
      <c r="F13" s="12"/>
      <c r="G13" s="98" t="n">
        <v>1800</v>
      </c>
    </row>
    <row r="14">
      <c r="A14" s="93" t="s">
        <v>135</v>
      </c>
      <c r="B14" s="93"/>
      <c r="C14" s="114" t="n">
        <v>4452</v>
      </c>
      <c r="D14" s="93"/>
      <c r="E14" s="12" t="s">
        <v>169</v>
      </c>
      <c r="F14" s="12"/>
      <c r="G14" s="108" t="n">
        <v>0</v>
      </c>
    </row>
    <row r="15">
      <c r="A15" s="93" t="s">
        <v>136</v>
      </c>
      <c r="B15" s="93"/>
      <c r="C15" s="114" t="n">
        <v>0</v>
      </c>
      <c r="D15" s="93"/>
      <c r="E15" s="12" t="s">
        <v>170</v>
      </c>
      <c r="F15" s="12"/>
      <c r="G15" s="108" t="n">
        <v>0</v>
      </c>
    </row>
    <row r="16">
      <c r="A16" s="93" t="s">
        <v>137</v>
      </c>
      <c r="B16" s="93"/>
      <c r="C16" s="114" t="n">
        <v>1250</v>
      </c>
      <c r="D16" s="93"/>
      <c r="E16" s="12" t="s">
        <v>171</v>
      </c>
      <c r="F16" s="12"/>
      <c r="G16" s="108" t="n">
        <v>0</v>
      </c>
    </row>
    <row r="17">
      <c r="A17" s="93" t="s">
        <v>138</v>
      </c>
      <c r="B17" s="93"/>
      <c r="C17" s="114" t="n">
        <v>1600</v>
      </c>
      <c r="D17" s="93"/>
      <c r="E17" s="12" t="s">
        <v>172</v>
      </c>
      <c r="F17" s="12"/>
      <c r="G17" s="108" t="n">
        <v>0</v>
      </c>
    </row>
    <row r="18">
      <c r="A18" s="93" t="s">
        <v>139</v>
      </c>
      <c r="B18" s="93"/>
      <c r="C18" s="98" t="n">
        <v>0</v>
      </c>
      <c r="D18" s="93"/>
      <c r="E18" s="12" t="s">
        <v>173</v>
      </c>
      <c r="F18" s="12"/>
      <c r="G18" s="58" t="n">
        <f>SUM(G13:G17)</f>
        <v>1800</v>
      </c>
    </row>
    <row r="19">
      <c r="A19" s="93" t="s">
        <v>140</v>
      </c>
      <c r="B19" s="93"/>
      <c r="C19" s="98" t="n">
        <v>0</v>
      </c>
      <c r="D19" s="93"/>
    </row>
    <row r="20">
      <c r="A20" s="93" t="s">
        <v>141</v>
      </c>
      <c r="B20" s="93"/>
      <c r="C20" s="98" t="n">
        <v>0</v>
      </c>
      <c r="D20" s="93"/>
    </row>
    <row r="21">
      <c r="A21" s="93" t="s">
        <v>142</v>
      </c>
      <c r="B21" s="93"/>
      <c r="C21" s="98" t="n">
        <v>1600</v>
      </c>
      <c r="D21" s="93"/>
      <c r="E21" s="12"/>
      <c r="F21" s="12"/>
    </row>
    <row r="22">
      <c r="A22" s="93" t="s">
        <v>143</v>
      </c>
      <c r="B22" s="93"/>
      <c r="C22" s="98" t="n">
        <v>0</v>
      </c>
      <c r="D22" s="93"/>
      <c r="E22" s="124" t="s">
        <v>38</v>
      </c>
      <c r="F22" s="93"/>
      <c r="G22" s="114" t="n">
        <v>0</v>
      </c>
    </row>
    <row r="23">
      <c r="A23" s="93" t="s">
        <v>144</v>
      </c>
      <c r="B23" s="93"/>
      <c r="C23" s="98" t="n">
        <v>0</v>
      </c>
      <c r="D23" s="93"/>
      <c r="E23" s="93" t="s">
        <v>174</v>
      </c>
      <c r="F23" s="93"/>
      <c r="G23" s="114" t="n">
        <v>0</v>
      </c>
    </row>
    <row r="24">
      <c r="A24" s="93" t="s">
        <v>145</v>
      </c>
      <c r="B24" s="93"/>
      <c r="C24" s="98" t="n">
        <v>0</v>
      </c>
      <c r="D24" s="93"/>
      <c r="E24" s="12" t="s">
        <v>175</v>
      </c>
      <c r="F24" s="12"/>
      <c r="G24" s="108" t="n">
        <v>0</v>
      </c>
    </row>
    <row r="25">
      <c r="A25" s="93" t="s">
        <v>146</v>
      </c>
      <c r="B25" s="93"/>
      <c r="C25" s="114" t="n">
        <v>2228</v>
      </c>
      <c r="D25" s="93"/>
    </row>
    <row r="28">
      <c r="B28" s="104" t="s">
        <v>156</v>
      </c>
      <c r="C28" s="115" t="n">
        <v>22260</v>
      </c>
      <c r="D28" s="119"/>
      <c r="E28" s="119"/>
      <c r="F28" s="104" t="s">
        <v>176</v>
      </c>
      <c r="G28" s="115" t="n">
        <f>C28-G18+G22+G23+G24</f>
        <v>20460</v>
      </c>
    </row>
    <row r="30">
      <c r="A30" s="94" t="s">
        <v>147</v>
      </c>
      <c r="B30" s="105"/>
      <c r="C30" s="105"/>
      <c r="D30" s="105"/>
      <c r="E30" s="105"/>
      <c r="F30" s="105"/>
      <c r="G30" s="134"/>
    </row>
    <row r="31">
      <c r="A31" s="95" t="s">
        <v>148</v>
      </c>
      <c r="B31" s="106"/>
      <c r="C31" s="47" t="s">
        <v>157</v>
      </c>
      <c r="D31" s="120" t="s">
        <v>158</v>
      </c>
      <c r="E31" s="120"/>
      <c r="F31" s="120"/>
      <c r="G31" s="135"/>
    </row>
    <row r="32">
      <c r="A32" s="96" t="s">
        <v>149</v>
      </c>
      <c r="B32" s="98" t="n">
        <v>0</v>
      </c>
      <c r="C32" s="116" t="n">
        <v>0</v>
      </c>
      <c r="D32" s="121" t="s">
        <v>159</v>
      </c>
      <c r="E32" s="125" t="n">
        <v>0</v>
      </c>
      <c r="F32" s="121" t="s">
        <v>177</v>
      </c>
      <c r="G32" s="136" t="n">
        <v>0</v>
      </c>
    </row>
    <row r="33">
      <c r="A33" s="96" t="s">
        <v>150</v>
      </c>
      <c r="B33" s="107" t="n">
        <v>0</v>
      </c>
      <c r="C33" s="12"/>
      <c r="D33" s="121" t="s">
        <v>160</v>
      </c>
      <c r="E33" s="126" t="n">
        <v>18</v>
      </c>
      <c r="F33" s="121" t="s">
        <v>178</v>
      </c>
      <c r="G33" s="137" t="n">
        <v>0</v>
      </c>
    </row>
    <row r="34">
      <c r="A34" s="96" t="s">
        <v>151</v>
      </c>
      <c r="B34" s="108" t="n">
        <v>0</v>
      </c>
      <c r="C34" s="116" t="n">
        <v>0</v>
      </c>
      <c r="D34" s="121" t="s">
        <v>161</v>
      </c>
      <c r="E34" s="126" t="n">
        <v>36</v>
      </c>
      <c r="F34" s="121" t="s">
        <v>179</v>
      </c>
      <c r="G34" s="137" t="n">
        <v>63</v>
      </c>
    </row>
    <row r="35">
      <c r="A35" s="96" t="s">
        <v>152</v>
      </c>
      <c r="B35" s="107" t="n">
        <f>B32+B33-B34</f>
        <v>0</v>
      </c>
      <c r="C35" s="107" t="n">
        <f>C32-C34</f>
        <v>0</v>
      </c>
      <c r="D35" s="121"/>
      <c r="E35" s="127"/>
      <c r="F35" s="121"/>
      <c r="G35" s="138"/>
    </row>
    <row r="36">
      <c r="A36" s="97"/>
      <c r="B36" s="109"/>
      <c r="C36" s="109"/>
      <c r="D36" s="109"/>
      <c r="E36" s="109"/>
      <c r="F36" s="109"/>
      <c r="G36" s="139"/>
    </row>
    <row r="39">
      <c r="A39" s="98"/>
      <c r="B39" s="98"/>
    </row>
    <row r="40">
      <c r="A40" s="35" t="s">
        <v>153</v>
      </c>
    </row>
    <row r="41">
      <c r="A41" s="35" t="s">
        <v>154</v>
      </c>
    </row>
  </sheetData>
  <mergeCells>
    <mergeCell ref="A31:B31"/>
    <mergeCell ref="D31:G31"/>
    <mergeCell ref="A23:B23"/>
    <mergeCell ref="E23:F23"/>
    <mergeCell ref="A24:B24"/>
    <mergeCell ref="E24:F24"/>
    <mergeCell ref="A25:B25"/>
    <mergeCell ref="A30:G30"/>
    <mergeCell ref="A20:B20"/>
    <mergeCell ref="A21:B21"/>
    <mergeCell ref="E21:F21"/>
    <mergeCell ref="A22:B22"/>
    <mergeCell ref="E22:F22"/>
    <mergeCell ref="E17:F17"/>
    <mergeCell ref="A17:B17"/>
    <mergeCell ref="A18:B18"/>
    <mergeCell ref="E18:F18"/>
    <mergeCell ref="A19:B19"/>
    <mergeCell ref="A14:B14"/>
    <mergeCell ref="E14:F14"/>
    <mergeCell ref="A15:B15"/>
    <mergeCell ref="E15:F15"/>
    <mergeCell ref="A16:B16"/>
    <mergeCell ref="E16:F16"/>
    <mergeCell ref="A9:B9"/>
    <mergeCell ref="E9:F9"/>
    <mergeCell ref="E10:F10"/>
    <mergeCell ref="E11:F11"/>
    <mergeCell ref="A13:B13"/>
    <mergeCell ref="E13:F13"/>
    <mergeCell ref="A8:B8"/>
    <mergeCell ref="E8:F8"/>
    <mergeCell ref="B1:G4"/>
    <mergeCell ref="A6:B6"/>
    <mergeCell ref="E6:F6"/>
    <mergeCell ref="A7:B7"/>
    <mergeCell ref="E7:F7"/>
  </mergeCells>
  <pageMargins bottom="0.75" footer="0.3" header="0.3" left="0.7" right="0.7" top="0.75"/>
  <pageSetup paperSize="1" orientation="portrait" scale="69"/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true"/>
  </sheetPr>
  <dimension ref="A1:G41"/>
  <sheetViews>
    <sheetView zoomScale="95" topLeftCell="A1" workbookViewId="0" showGridLines="true" showRowColHeaders="true">
      <selection activeCell="H1" sqref="H1:H1"/>
    </sheetView>
  </sheetViews>
  <sheetFormatPr customHeight="false" defaultColWidth="20.57421875" defaultRowHeight="15"/>
  <cols>
    <col min="1" max="1" bestFit="false" customWidth="true" width="20.421875" hidden="false" outlineLevel="0"/>
    <col min="2" max="2" bestFit="false" customWidth="true" width="15.57421875" hidden="false" outlineLevel="0"/>
    <col min="3" max="3" bestFit="false" customWidth="true" width="20.57421875" hidden="false" outlineLevel="0"/>
    <col min="4" max="4" bestFit="false" customWidth="true" width="10.57421875" hidden="false" outlineLevel="0"/>
    <col min="5" max="6" bestFit="false" customWidth="true" width="15.57421875" hidden="false" outlineLevel="0"/>
    <col min="7" max="7" bestFit="false" customWidth="true" width="31.7109375" hidden="false" outlineLevel="0"/>
  </cols>
  <sheetData>
    <row r="1" ht="21" customHeight="true">
      <c r="B1" s="99" t="s">
        <v>155</v>
      </c>
      <c r="C1" s="99"/>
      <c r="D1" s="99"/>
      <c r="E1" s="99"/>
      <c r="F1" s="99"/>
      <c r="G1" s="99"/>
    </row>
    <row r="2" ht="14.25" customHeight="true">
      <c r="B2" s="100"/>
      <c r="C2" s="100"/>
      <c r="D2" s="100"/>
      <c r="E2" s="100"/>
      <c r="F2" s="100"/>
      <c r="G2" s="100"/>
    </row>
    <row r="3" ht="14.25" customHeight="true">
      <c r="B3" s="100"/>
      <c r="C3" s="100"/>
      <c r="D3" s="100"/>
      <c r="E3" s="100"/>
      <c r="F3" s="100"/>
      <c r="G3" s="100"/>
    </row>
    <row r="4" ht="14.25" customHeight="true">
      <c r="B4" s="100"/>
      <c r="C4" s="100"/>
      <c r="D4" s="100"/>
      <c r="E4" s="100"/>
      <c r="F4" s="100"/>
      <c r="G4" s="100"/>
    </row>
    <row r="6">
      <c r="A6" s="90" t="s">
        <v>130</v>
      </c>
      <c r="B6" s="101"/>
      <c r="C6" s="110" t="s">
        <v>25</v>
      </c>
      <c r="D6" s="117"/>
      <c r="E6" s="90" t="s">
        <v>162</v>
      </c>
      <c r="F6" s="101"/>
      <c r="G6" s="110" t="s">
        <v>187</v>
      </c>
    </row>
    <row r="7">
      <c r="A7" s="91" t="s">
        <v>131</v>
      </c>
      <c r="B7" s="102"/>
      <c r="C7" s="111"/>
      <c r="D7" s="117"/>
      <c r="E7" s="91" t="s">
        <v>163</v>
      </c>
      <c r="F7" s="102"/>
      <c r="G7" s="111"/>
    </row>
    <row r="8">
      <c r="A8" s="91" t="s">
        <v>132</v>
      </c>
      <c r="B8" s="102"/>
      <c r="C8" s="112" t="n">
        <v>242901503112</v>
      </c>
      <c r="D8" s="118"/>
      <c r="E8" s="91" t="s">
        <v>164</v>
      </c>
      <c r="F8" s="102"/>
      <c r="G8" s="130" t="s">
        <v>191</v>
      </c>
    </row>
    <row r="9">
      <c r="A9" s="92" t="s">
        <v>133</v>
      </c>
      <c r="B9" s="103"/>
      <c r="C9" s="113" t="n">
        <v>46113</v>
      </c>
      <c r="D9" s="117"/>
      <c r="E9" s="91" t="s">
        <v>165</v>
      </c>
      <c r="F9" s="102"/>
      <c r="G9" s="131" t="n">
        <v>23</v>
      </c>
    </row>
    <row r="10">
      <c r="E10" s="122" t="s">
        <v>166</v>
      </c>
      <c r="F10" s="128"/>
      <c r="G10" s="132" t="n">
        <v>47588.76</v>
      </c>
    </row>
    <row r="11">
      <c r="E11" s="123" t="s">
        <v>167</v>
      </c>
      <c r="F11" s="129"/>
      <c r="G11" s="133" t="n">
        <v>181.5</v>
      </c>
    </row>
    <row r="13">
      <c r="A13" s="93" t="s">
        <v>134</v>
      </c>
      <c r="B13" s="93"/>
      <c r="C13" s="114" t="n">
        <v>24342.99</v>
      </c>
      <c r="E13" s="12" t="s">
        <v>168</v>
      </c>
      <c r="F13" s="12"/>
      <c r="G13" s="98" t="n">
        <v>1800</v>
      </c>
    </row>
    <row r="14">
      <c r="A14" s="93" t="s">
        <v>135</v>
      </c>
      <c r="B14" s="93"/>
      <c r="C14" s="114" t="n">
        <v>9737.2</v>
      </c>
      <c r="D14" s="93"/>
      <c r="E14" s="12" t="s">
        <v>169</v>
      </c>
      <c r="F14" s="12"/>
      <c r="G14" s="108" t="n">
        <v>0</v>
      </c>
    </row>
    <row r="15">
      <c r="A15" s="93" t="s">
        <v>136</v>
      </c>
      <c r="B15" s="93"/>
      <c r="C15" s="114" t="n">
        <v>0</v>
      </c>
      <c r="D15" s="93"/>
      <c r="E15" s="12" t="s">
        <v>170</v>
      </c>
      <c r="F15" s="12"/>
      <c r="G15" s="108" t="n">
        <v>0</v>
      </c>
    </row>
    <row r="16">
      <c r="A16" s="93" t="s">
        <v>137</v>
      </c>
      <c r="B16" s="93"/>
      <c r="C16" s="114" t="n">
        <v>1250</v>
      </c>
      <c r="D16" s="93"/>
      <c r="E16" s="12" t="s">
        <v>171</v>
      </c>
      <c r="F16" s="12"/>
      <c r="G16" s="108" t="n">
        <v>0</v>
      </c>
    </row>
    <row r="17">
      <c r="A17" s="93" t="s">
        <v>138</v>
      </c>
      <c r="B17" s="93"/>
      <c r="C17" s="114" t="n">
        <v>1600</v>
      </c>
      <c r="D17" s="93"/>
      <c r="E17" s="12" t="s">
        <v>172</v>
      </c>
      <c r="F17" s="12"/>
      <c r="G17" s="108" t="n">
        <v>0</v>
      </c>
    </row>
    <row r="18">
      <c r="A18" s="93" t="s">
        <v>139</v>
      </c>
      <c r="B18" s="93"/>
      <c r="C18" s="98" t="n">
        <v>0</v>
      </c>
      <c r="D18" s="93"/>
      <c r="E18" s="12" t="s">
        <v>173</v>
      </c>
      <c r="F18" s="12"/>
      <c r="G18" s="58" t="n">
        <f>SUM(G13:G17)</f>
        <v>1800</v>
      </c>
    </row>
    <row r="19">
      <c r="A19" s="93" t="s">
        <v>140</v>
      </c>
      <c r="B19" s="93"/>
      <c r="C19" s="98" t="n">
        <v>0</v>
      </c>
      <c r="D19" s="93"/>
    </row>
    <row r="20">
      <c r="A20" s="93" t="s">
        <v>141</v>
      </c>
      <c r="B20" s="93"/>
      <c r="C20" s="98" t="n">
        <v>0</v>
      </c>
      <c r="D20" s="93"/>
    </row>
    <row r="21">
      <c r="A21" s="93" t="s">
        <v>142</v>
      </c>
      <c r="B21" s="93"/>
      <c r="C21" s="98" t="n">
        <v>1600</v>
      </c>
      <c r="D21" s="93"/>
      <c r="E21" s="12"/>
      <c r="F21" s="12"/>
    </row>
    <row r="22">
      <c r="A22" s="93" t="s">
        <v>143</v>
      </c>
      <c r="B22" s="93"/>
      <c r="C22" s="98" t="n">
        <v>0</v>
      </c>
      <c r="D22" s="93"/>
      <c r="E22" s="124" t="s">
        <v>38</v>
      </c>
      <c r="F22" s="93"/>
      <c r="G22" s="114" t="n">
        <v>2700</v>
      </c>
    </row>
    <row r="23">
      <c r="A23" s="93" t="s">
        <v>144</v>
      </c>
      <c r="B23" s="93"/>
      <c r="C23" s="98" t="n">
        <v>0</v>
      </c>
      <c r="D23" s="93"/>
      <c r="E23" s="93" t="s">
        <v>174</v>
      </c>
      <c r="F23" s="93"/>
      <c r="G23" s="114" t="n">
        <v>0</v>
      </c>
    </row>
    <row r="24">
      <c r="A24" s="93" t="s">
        <v>145</v>
      </c>
      <c r="B24" s="93"/>
      <c r="C24" s="98" t="n">
        <v>0</v>
      </c>
      <c r="D24" s="93"/>
      <c r="E24" s="12" t="s">
        <v>175</v>
      </c>
      <c r="F24" s="12"/>
      <c r="G24" s="108" t="n">
        <v>0</v>
      </c>
    </row>
    <row r="25">
      <c r="A25" s="93" t="s">
        <v>146</v>
      </c>
      <c r="B25" s="93"/>
      <c r="C25" s="114" t="n">
        <v>10155.79</v>
      </c>
      <c r="D25" s="93"/>
    </row>
    <row r="28">
      <c r="B28" s="104" t="s">
        <v>156</v>
      </c>
      <c r="C28" s="115" t="n">
        <v>48685.98</v>
      </c>
      <c r="D28" s="119"/>
      <c r="E28" s="119"/>
      <c r="F28" s="104" t="s">
        <v>176</v>
      </c>
      <c r="G28" s="115" t="n">
        <f>C28-G18+G22+G23+G24</f>
        <v>49585.98</v>
      </c>
    </row>
    <row r="30">
      <c r="A30" s="94" t="s">
        <v>147</v>
      </c>
      <c r="B30" s="105"/>
      <c r="C30" s="105"/>
      <c r="D30" s="105"/>
      <c r="E30" s="105"/>
      <c r="F30" s="105"/>
      <c r="G30" s="134"/>
    </row>
    <row r="31">
      <c r="A31" s="95" t="s">
        <v>148</v>
      </c>
      <c r="B31" s="106"/>
      <c r="C31" s="47" t="s">
        <v>157</v>
      </c>
      <c r="D31" s="120" t="s">
        <v>158</v>
      </c>
      <c r="E31" s="120"/>
      <c r="F31" s="120"/>
      <c r="G31" s="135"/>
    </row>
    <row r="32">
      <c r="A32" s="96" t="s">
        <v>149</v>
      </c>
      <c r="B32" s="98" t="n">
        <v>7.4</v>
      </c>
      <c r="C32" s="116" t="n">
        <v>0</v>
      </c>
      <c r="D32" s="121" t="s">
        <v>159</v>
      </c>
      <c r="E32" s="125" t="n">
        <v>0</v>
      </c>
      <c r="F32" s="121" t="s">
        <v>177</v>
      </c>
      <c r="G32" s="136" t="n">
        <v>18</v>
      </c>
    </row>
    <row r="33">
      <c r="A33" s="96" t="s">
        <v>150</v>
      </c>
      <c r="B33" s="107" t="n">
        <v>10.21</v>
      </c>
      <c r="C33" s="12"/>
      <c r="D33" s="121" t="s">
        <v>160</v>
      </c>
      <c r="E33" s="126" t="n">
        <v>18</v>
      </c>
      <c r="F33" s="121" t="s">
        <v>178</v>
      </c>
      <c r="G33" s="137" t="n">
        <v>0</v>
      </c>
    </row>
    <row r="34">
      <c r="A34" s="96" t="s">
        <v>151</v>
      </c>
      <c r="B34" s="108" t="n">
        <v>0</v>
      </c>
      <c r="C34" s="116" t="n">
        <v>0</v>
      </c>
      <c r="D34" s="121" t="s">
        <v>161</v>
      </c>
      <c r="E34" s="126" t="n">
        <v>18</v>
      </c>
      <c r="F34" s="121" t="s">
        <v>179</v>
      </c>
      <c r="G34" s="137" t="n">
        <v>36</v>
      </c>
    </row>
    <row r="35">
      <c r="A35" s="96" t="s">
        <v>152</v>
      </c>
      <c r="B35" s="107" t="n">
        <f>B32+B33-B34</f>
        <v>17.61</v>
      </c>
      <c r="C35" s="107" t="n">
        <f>C32-C34</f>
        <v>0</v>
      </c>
      <c r="D35" s="121"/>
      <c r="E35" s="127"/>
      <c r="F35" s="121"/>
      <c r="G35" s="138"/>
    </row>
    <row r="36">
      <c r="A36" s="97"/>
      <c r="B36" s="109"/>
      <c r="C36" s="109"/>
      <c r="D36" s="109"/>
      <c r="E36" s="109"/>
      <c r="F36" s="109"/>
      <c r="G36" s="139"/>
    </row>
    <row r="39">
      <c r="A39" s="98"/>
      <c r="B39" s="98"/>
    </row>
    <row r="40">
      <c r="A40" s="35" t="s">
        <v>153</v>
      </c>
    </row>
    <row r="41">
      <c r="A41" s="35" t="s">
        <v>154</v>
      </c>
    </row>
  </sheetData>
  <mergeCells>
    <mergeCell ref="A31:B31"/>
    <mergeCell ref="D31:G31"/>
    <mergeCell ref="A23:B23"/>
    <mergeCell ref="E23:F23"/>
    <mergeCell ref="A24:B24"/>
    <mergeCell ref="E24:F24"/>
    <mergeCell ref="A25:B25"/>
    <mergeCell ref="A30:G30"/>
    <mergeCell ref="A20:B20"/>
    <mergeCell ref="A21:B21"/>
    <mergeCell ref="E21:F21"/>
    <mergeCell ref="A22:B22"/>
    <mergeCell ref="E22:F22"/>
    <mergeCell ref="E17:F17"/>
    <mergeCell ref="A17:B17"/>
    <mergeCell ref="A18:B18"/>
    <mergeCell ref="E18:F18"/>
    <mergeCell ref="A19:B19"/>
    <mergeCell ref="A14:B14"/>
    <mergeCell ref="E14:F14"/>
    <mergeCell ref="A15:B15"/>
    <mergeCell ref="E15:F15"/>
    <mergeCell ref="A16:B16"/>
    <mergeCell ref="E16:F16"/>
    <mergeCell ref="A9:B9"/>
    <mergeCell ref="E9:F9"/>
    <mergeCell ref="E10:F10"/>
    <mergeCell ref="E11:F11"/>
    <mergeCell ref="A13:B13"/>
    <mergeCell ref="E13:F13"/>
    <mergeCell ref="A8:B8"/>
    <mergeCell ref="E8:F8"/>
    <mergeCell ref="B1:G4"/>
    <mergeCell ref="A6:B6"/>
    <mergeCell ref="E6:F6"/>
    <mergeCell ref="A7:B7"/>
    <mergeCell ref="E7:F7"/>
  </mergeCells>
  <pageMargins bottom="0.75" footer="0.3" header="0.3" left="0.7" right="0.7" top="0.75"/>
  <pageSetup paperSize="1" orientation="portrait" scale="69"/>
  <drawing r:id="rId1"/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true"/>
  </sheetPr>
  <dimension ref="A1:G41"/>
  <sheetViews>
    <sheetView zoomScale="95" topLeftCell="A1" workbookViewId="0" showGridLines="true" showRowColHeaders="true">
      <selection activeCell="H1" sqref="H1:H1"/>
    </sheetView>
  </sheetViews>
  <sheetFormatPr customHeight="false" defaultColWidth="20.57421875" defaultRowHeight="15"/>
  <cols>
    <col min="1" max="1" bestFit="false" customWidth="true" width="20.421875" hidden="false" outlineLevel="0"/>
    <col min="2" max="2" bestFit="false" customWidth="true" width="15.57421875" hidden="false" outlineLevel="0"/>
    <col min="3" max="3" bestFit="false" customWidth="true" width="20.57421875" hidden="false" outlineLevel="0"/>
    <col min="4" max="4" bestFit="false" customWidth="true" width="10.57421875" hidden="false" outlineLevel="0"/>
    <col min="5" max="6" bestFit="false" customWidth="true" width="15.57421875" hidden="false" outlineLevel="0"/>
    <col min="7" max="7" bestFit="false" customWidth="true" width="31.7109375" hidden="false" outlineLevel="0"/>
  </cols>
  <sheetData>
    <row r="1" ht="21" customHeight="true">
      <c r="B1" s="99" t="s">
        <v>155</v>
      </c>
      <c r="C1" s="99"/>
      <c r="D1" s="99"/>
      <c r="E1" s="99"/>
      <c r="F1" s="99"/>
      <c r="G1" s="99"/>
    </row>
    <row r="2" ht="14.25" customHeight="true">
      <c r="B2" s="100"/>
      <c r="C2" s="100"/>
      <c r="D2" s="100"/>
      <c r="E2" s="100"/>
      <c r="F2" s="100"/>
      <c r="G2" s="100"/>
    </row>
    <row r="3" ht="14.25" customHeight="true">
      <c r="B3" s="100"/>
      <c r="C3" s="100"/>
      <c r="D3" s="100"/>
      <c r="E3" s="100"/>
      <c r="F3" s="100"/>
      <c r="G3" s="100"/>
    </row>
    <row r="4" ht="14.25" customHeight="true">
      <c r="B4" s="100"/>
      <c r="C4" s="100"/>
      <c r="D4" s="100"/>
      <c r="E4" s="100"/>
      <c r="F4" s="100"/>
      <c r="G4" s="100"/>
    </row>
    <row r="6">
      <c r="A6" s="90" t="s">
        <v>130</v>
      </c>
      <c r="B6" s="101"/>
      <c r="C6" s="110" t="s">
        <v>16</v>
      </c>
      <c r="D6" s="117"/>
      <c r="E6" s="90" t="s">
        <v>162</v>
      </c>
      <c r="F6" s="101"/>
      <c r="G6" s="110" t="s">
        <v>192</v>
      </c>
    </row>
    <row r="7">
      <c r="A7" s="91" t="s">
        <v>131</v>
      </c>
      <c r="B7" s="102"/>
      <c r="C7" s="111"/>
      <c r="D7" s="117"/>
      <c r="E7" s="91" t="s">
        <v>163</v>
      </c>
      <c r="F7" s="102"/>
      <c r="G7" s="111"/>
    </row>
    <row r="8">
      <c r="A8" s="91" t="s">
        <v>132</v>
      </c>
      <c r="B8" s="102"/>
      <c r="C8" s="112" t="n">
        <v>3461050016829</v>
      </c>
      <c r="D8" s="118"/>
      <c r="E8" s="91" t="s">
        <v>164</v>
      </c>
      <c r="F8" s="102"/>
      <c r="G8" s="130" t="s">
        <v>193</v>
      </c>
    </row>
    <row r="9">
      <c r="A9" s="92" t="s">
        <v>133</v>
      </c>
      <c r="B9" s="103"/>
      <c r="C9" s="113" t="n">
        <v>46113</v>
      </c>
      <c r="D9" s="117"/>
      <c r="E9" s="91" t="s">
        <v>165</v>
      </c>
      <c r="F9" s="102"/>
      <c r="G9" s="131" t="n">
        <v>23</v>
      </c>
    </row>
    <row r="10">
      <c r="E10" s="122" t="s">
        <v>166</v>
      </c>
      <c r="F10" s="128"/>
      <c r="G10" s="132" t="n">
        <v>55489.6</v>
      </c>
    </row>
    <row r="11">
      <c r="E11" s="123" t="s">
        <v>167</v>
      </c>
      <c r="F11" s="129"/>
      <c r="G11" s="133" t="n">
        <v>199.71</v>
      </c>
    </row>
    <row r="13">
      <c r="A13" s="93" t="s">
        <v>134</v>
      </c>
      <c r="B13" s="93"/>
      <c r="C13" s="114" t="n">
        <v>29695.26</v>
      </c>
      <c r="E13" s="12" t="s">
        <v>168</v>
      </c>
      <c r="F13" s="12"/>
      <c r="G13" s="98" t="n">
        <v>1800</v>
      </c>
    </row>
    <row r="14">
      <c r="A14" s="93" t="s">
        <v>135</v>
      </c>
      <c r="B14" s="93"/>
      <c r="C14" s="114" t="n">
        <v>11878.1</v>
      </c>
      <c r="D14" s="93"/>
      <c r="E14" s="12" t="s">
        <v>169</v>
      </c>
      <c r="F14" s="12"/>
      <c r="G14" s="108" t="n">
        <v>0</v>
      </c>
    </row>
    <row r="15">
      <c r="A15" s="93" t="s">
        <v>136</v>
      </c>
      <c r="B15" s="93"/>
      <c r="C15" s="114" t="n">
        <v>0</v>
      </c>
      <c r="D15" s="93"/>
      <c r="E15" s="12" t="s">
        <v>170</v>
      </c>
      <c r="F15" s="12"/>
      <c r="G15" s="108" t="n">
        <v>0</v>
      </c>
    </row>
    <row r="16">
      <c r="A16" s="93" t="s">
        <v>137</v>
      </c>
      <c r="B16" s="93"/>
      <c r="C16" s="114" t="n">
        <v>1250</v>
      </c>
      <c r="D16" s="93"/>
      <c r="E16" s="12" t="s">
        <v>171</v>
      </c>
      <c r="F16" s="12"/>
      <c r="G16" s="108" t="n">
        <v>0</v>
      </c>
    </row>
    <row r="17">
      <c r="A17" s="93" t="s">
        <v>138</v>
      </c>
      <c r="B17" s="93"/>
      <c r="C17" s="114" t="n">
        <v>1600</v>
      </c>
      <c r="D17" s="93"/>
      <c r="E17" s="12" t="s">
        <v>172</v>
      </c>
      <c r="F17" s="12"/>
      <c r="G17" s="108" t="n">
        <v>0</v>
      </c>
    </row>
    <row r="18">
      <c r="A18" s="93" t="s">
        <v>139</v>
      </c>
      <c r="B18" s="93"/>
      <c r="C18" s="98" t="n">
        <v>0</v>
      </c>
      <c r="D18" s="93"/>
      <c r="E18" s="12" t="s">
        <v>173</v>
      </c>
      <c r="F18" s="12"/>
      <c r="G18" s="58" t="n">
        <f>SUM(G13:G17)</f>
        <v>1800</v>
      </c>
    </row>
    <row r="19">
      <c r="A19" s="93" t="s">
        <v>140</v>
      </c>
      <c r="B19" s="93"/>
      <c r="C19" s="98" t="n">
        <v>0</v>
      </c>
      <c r="D19" s="93"/>
    </row>
    <row r="20">
      <c r="A20" s="93" t="s">
        <v>141</v>
      </c>
      <c r="B20" s="93"/>
      <c r="C20" s="98" t="n">
        <v>0</v>
      </c>
      <c r="D20" s="93"/>
    </row>
    <row r="21">
      <c r="A21" s="93" t="s">
        <v>142</v>
      </c>
      <c r="B21" s="93"/>
      <c r="C21" s="98" t="n">
        <v>1600</v>
      </c>
      <c r="D21" s="93"/>
      <c r="E21" s="12"/>
      <c r="F21" s="12"/>
    </row>
    <row r="22">
      <c r="A22" s="93" t="s">
        <v>143</v>
      </c>
      <c r="B22" s="93"/>
      <c r="C22" s="98" t="n">
        <v>0</v>
      </c>
      <c r="D22" s="93"/>
      <c r="E22" s="124" t="s">
        <v>38</v>
      </c>
      <c r="F22" s="93"/>
      <c r="G22" s="114" t="n">
        <v>2700</v>
      </c>
    </row>
    <row r="23">
      <c r="A23" s="93" t="s">
        <v>144</v>
      </c>
      <c r="B23" s="93"/>
      <c r="C23" s="98" t="n">
        <v>0</v>
      </c>
      <c r="D23" s="93"/>
      <c r="E23" s="93" t="s">
        <v>174</v>
      </c>
      <c r="F23" s="93"/>
      <c r="G23" s="114" t="n">
        <v>0</v>
      </c>
    </row>
    <row r="24">
      <c r="A24" s="93" t="s">
        <v>145</v>
      </c>
      <c r="B24" s="93"/>
      <c r="C24" s="98" t="n">
        <v>0</v>
      </c>
      <c r="D24" s="93"/>
      <c r="E24" s="12" t="s">
        <v>175</v>
      </c>
      <c r="F24" s="12"/>
      <c r="G24" s="108" t="n">
        <v>0</v>
      </c>
    </row>
    <row r="25">
      <c r="A25" s="93" t="s">
        <v>146</v>
      </c>
      <c r="B25" s="93"/>
      <c r="C25" s="114" t="n">
        <v>13367.16</v>
      </c>
      <c r="D25" s="93"/>
    </row>
    <row r="28">
      <c r="B28" s="104" t="s">
        <v>156</v>
      </c>
      <c r="C28" s="115" t="n">
        <v>59390.52</v>
      </c>
      <c r="D28" s="119"/>
      <c r="E28" s="119"/>
      <c r="F28" s="104" t="s">
        <v>176</v>
      </c>
      <c r="G28" s="115" t="n">
        <f>C28-G18+G22+G23+G24</f>
        <v>60290.52</v>
      </c>
    </row>
    <row r="30">
      <c r="A30" s="94" t="s">
        <v>147</v>
      </c>
      <c r="B30" s="105"/>
      <c r="C30" s="105"/>
      <c r="D30" s="105"/>
      <c r="E30" s="105"/>
      <c r="F30" s="105"/>
      <c r="G30" s="134"/>
    </row>
    <row r="31">
      <c r="A31" s="95" t="s">
        <v>148</v>
      </c>
      <c r="B31" s="106"/>
      <c r="C31" s="47" t="s">
        <v>157</v>
      </c>
      <c r="D31" s="120" t="s">
        <v>158</v>
      </c>
      <c r="E31" s="120"/>
      <c r="F31" s="120"/>
      <c r="G31" s="135"/>
    </row>
    <row r="32">
      <c r="A32" s="96" t="s">
        <v>149</v>
      </c>
      <c r="B32" s="98" t="n">
        <v>140.84</v>
      </c>
      <c r="C32" s="116" t="n">
        <v>0</v>
      </c>
      <c r="D32" s="121" t="s">
        <v>159</v>
      </c>
      <c r="E32" s="125" t="n">
        <v>9</v>
      </c>
      <c r="F32" s="121" t="s">
        <v>177</v>
      </c>
      <c r="G32" s="136" t="n">
        <v>0</v>
      </c>
    </row>
    <row r="33">
      <c r="A33" s="96" t="s">
        <v>150</v>
      </c>
      <c r="B33" s="107" t="n">
        <v>11.23</v>
      </c>
      <c r="C33" s="12"/>
      <c r="D33" s="121" t="s">
        <v>160</v>
      </c>
      <c r="E33" s="126" t="n">
        <v>18</v>
      </c>
      <c r="F33" s="121" t="s">
        <v>178</v>
      </c>
      <c r="G33" s="137" t="n">
        <v>0</v>
      </c>
    </row>
    <row r="34">
      <c r="A34" s="96" t="s">
        <v>151</v>
      </c>
      <c r="B34" s="108" t="n">
        <v>0</v>
      </c>
      <c r="C34" s="116" t="n">
        <v>0</v>
      </c>
      <c r="D34" s="121" t="s">
        <v>161</v>
      </c>
      <c r="E34" s="126" t="n">
        <v>18</v>
      </c>
      <c r="F34" s="121" t="s">
        <v>179</v>
      </c>
      <c r="G34" s="137" t="n">
        <v>99</v>
      </c>
    </row>
    <row r="35">
      <c r="A35" s="96" t="s">
        <v>152</v>
      </c>
      <c r="B35" s="107" t="n">
        <f>B32+B33-B34</f>
        <v>152.07</v>
      </c>
      <c r="C35" s="107" t="n">
        <f>C32-C34</f>
        <v>0</v>
      </c>
      <c r="D35" s="121"/>
      <c r="E35" s="127"/>
      <c r="F35" s="121"/>
      <c r="G35" s="138"/>
    </row>
    <row r="36">
      <c r="A36" s="97"/>
      <c r="B36" s="109"/>
      <c r="C36" s="109"/>
      <c r="D36" s="109"/>
      <c r="E36" s="109"/>
      <c r="F36" s="109"/>
      <c r="G36" s="139"/>
    </row>
    <row r="39">
      <c r="A39" s="98"/>
      <c r="B39" s="98"/>
    </row>
    <row r="40">
      <c r="A40" s="35" t="s">
        <v>153</v>
      </c>
    </row>
    <row r="41">
      <c r="A41" s="35" t="s">
        <v>154</v>
      </c>
    </row>
  </sheetData>
  <mergeCells>
    <mergeCell ref="A31:B31"/>
    <mergeCell ref="D31:G31"/>
    <mergeCell ref="A23:B23"/>
    <mergeCell ref="E23:F23"/>
    <mergeCell ref="A24:B24"/>
    <mergeCell ref="E24:F24"/>
    <mergeCell ref="A25:B25"/>
    <mergeCell ref="A30:G30"/>
    <mergeCell ref="A20:B20"/>
    <mergeCell ref="A21:B21"/>
    <mergeCell ref="E21:F21"/>
    <mergeCell ref="A22:B22"/>
    <mergeCell ref="E22:F22"/>
    <mergeCell ref="E17:F17"/>
    <mergeCell ref="A17:B17"/>
    <mergeCell ref="A18:B18"/>
    <mergeCell ref="E18:F18"/>
    <mergeCell ref="A19:B19"/>
    <mergeCell ref="A14:B14"/>
    <mergeCell ref="E14:F14"/>
    <mergeCell ref="A15:B15"/>
    <mergeCell ref="E15:F15"/>
    <mergeCell ref="A16:B16"/>
    <mergeCell ref="E16:F16"/>
    <mergeCell ref="A9:B9"/>
    <mergeCell ref="E9:F9"/>
    <mergeCell ref="E10:F10"/>
    <mergeCell ref="E11:F11"/>
    <mergeCell ref="A13:B13"/>
    <mergeCell ref="E13:F13"/>
    <mergeCell ref="A8:B8"/>
    <mergeCell ref="E8:F8"/>
    <mergeCell ref="B1:G4"/>
    <mergeCell ref="A6:B6"/>
    <mergeCell ref="E6:F6"/>
    <mergeCell ref="A7:B7"/>
    <mergeCell ref="E7:F7"/>
  </mergeCells>
  <pageMargins bottom="0.75" footer="0.3" header="0.3" left="0.7" right="0.7" top="0.75"/>
  <pageSetup paperSize="1" orientation="portrait" scale="69"/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true"/>
  </sheetPr>
  <dimension ref="A1:G41"/>
  <sheetViews>
    <sheetView zoomScale="95" topLeftCell="A1" workbookViewId="0" showGridLines="true" showRowColHeaders="true">
      <selection activeCell="H1" sqref="H1:H1"/>
    </sheetView>
  </sheetViews>
  <sheetFormatPr customHeight="false" defaultColWidth="20.57421875" defaultRowHeight="15"/>
  <cols>
    <col min="1" max="1" bestFit="false" customWidth="true" width="20.421875" hidden="false" outlineLevel="0"/>
    <col min="2" max="2" bestFit="false" customWidth="true" width="15.57421875" hidden="false" outlineLevel="0"/>
    <col min="3" max="3" bestFit="false" customWidth="true" width="20.57421875" hidden="false" outlineLevel="0"/>
    <col min="4" max="4" bestFit="false" customWidth="true" width="10.57421875" hidden="false" outlineLevel="0"/>
    <col min="5" max="6" bestFit="false" customWidth="true" width="15.57421875" hidden="false" outlineLevel="0"/>
    <col min="7" max="7" bestFit="false" customWidth="true" width="31.7109375" hidden="false" outlineLevel="0"/>
  </cols>
  <sheetData>
    <row r="1" ht="21" customHeight="true">
      <c r="B1" s="99" t="s">
        <v>155</v>
      </c>
      <c r="C1" s="99"/>
      <c r="D1" s="99"/>
      <c r="E1" s="99"/>
      <c r="F1" s="99"/>
      <c r="G1" s="99"/>
    </row>
    <row r="2" ht="14.25" customHeight="true">
      <c r="B2" s="100"/>
      <c r="C2" s="100"/>
      <c r="D2" s="100"/>
      <c r="E2" s="100"/>
      <c r="F2" s="100"/>
      <c r="G2" s="100"/>
    </row>
    <row r="3" ht="14.25" customHeight="true">
      <c r="B3" s="100"/>
      <c r="C3" s="100"/>
      <c r="D3" s="100"/>
      <c r="E3" s="100"/>
      <c r="F3" s="100"/>
      <c r="G3" s="100"/>
    </row>
    <row r="4" ht="14.25" customHeight="true">
      <c r="B4" s="100"/>
      <c r="C4" s="100"/>
      <c r="D4" s="100"/>
      <c r="E4" s="100"/>
      <c r="F4" s="100"/>
      <c r="G4" s="100"/>
    </row>
    <row r="6">
      <c r="A6" s="90" t="s">
        <v>130</v>
      </c>
      <c r="B6" s="101"/>
      <c r="C6" s="110" t="s">
        <v>18</v>
      </c>
      <c r="D6" s="117"/>
      <c r="E6" s="90" t="s">
        <v>162</v>
      </c>
      <c r="F6" s="101"/>
      <c r="G6" s="110" t="s">
        <v>194</v>
      </c>
    </row>
    <row r="7">
      <c r="A7" s="91" t="s">
        <v>131</v>
      </c>
      <c r="B7" s="102"/>
      <c r="C7" s="111"/>
      <c r="D7" s="117"/>
      <c r="E7" s="91" t="s">
        <v>163</v>
      </c>
      <c r="F7" s="102"/>
      <c r="G7" s="111"/>
    </row>
    <row r="8">
      <c r="A8" s="91" t="s">
        <v>132</v>
      </c>
      <c r="B8" s="102"/>
      <c r="C8" s="112" t="n">
        <v>635301517508</v>
      </c>
      <c r="D8" s="118"/>
      <c r="E8" s="91" t="s">
        <v>164</v>
      </c>
      <c r="F8" s="102"/>
      <c r="G8" s="130" t="s">
        <v>195</v>
      </c>
    </row>
    <row r="9">
      <c r="A9" s="92" t="s">
        <v>133</v>
      </c>
      <c r="B9" s="103"/>
      <c r="C9" s="113" t="n">
        <v>46113</v>
      </c>
      <c r="D9" s="117"/>
      <c r="E9" s="91" t="s">
        <v>165</v>
      </c>
      <c r="F9" s="102"/>
      <c r="G9" s="131" t="n">
        <v>23</v>
      </c>
    </row>
    <row r="10">
      <c r="E10" s="122" t="s">
        <v>166</v>
      </c>
      <c r="F10" s="128"/>
      <c r="G10" s="132" t="n">
        <v>39873.38</v>
      </c>
    </row>
    <row r="11">
      <c r="E11" s="123" t="s">
        <v>167</v>
      </c>
      <c r="F11" s="129"/>
      <c r="G11" s="133" t="n">
        <v>209.73</v>
      </c>
    </row>
    <row r="13">
      <c r="A13" s="93" t="s">
        <v>134</v>
      </c>
      <c r="B13" s="93"/>
      <c r="C13" s="114" t="n">
        <v>21442.8</v>
      </c>
      <c r="E13" s="12" t="s">
        <v>168</v>
      </c>
      <c r="F13" s="12"/>
      <c r="G13" s="98" t="n">
        <v>1800</v>
      </c>
    </row>
    <row r="14">
      <c r="A14" s="93" t="s">
        <v>135</v>
      </c>
      <c r="B14" s="93"/>
      <c r="C14" s="114" t="n">
        <v>8577.12</v>
      </c>
      <c r="D14" s="93"/>
      <c r="E14" s="12" t="s">
        <v>169</v>
      </c>
      <c r="F14" s="12"/>
      <c r="G14" s="108" t="n">
        <v>0</v>
      </c>
    </row>
    <row r="15">
      <c r="A15" s="93" t="s">
        <v>136</v>
      </c>
      <c r="B15" s="93"/>
      <c r="C15" s="114" t="n">
        <v>0</v>
      </c>
      <c r="D15" s="93"/>
      <c r="E15" s="12" t="s">
        <v>170</v>
      </c>
      <c r="F15" s="12"/>
      <c r="G15" s="108" t="n">
        <v>0</v>
      </c>
    </row>
    <row r="16">
      <c r="A16" s="93" t="s">
        <v>137</v>
      </c>
      <c r="B16" s="93"/>
      <c r="C16" s="114" t="n">
        <v>1250</v>
      </c>
      <c r="D16" s="93"/>
      <c r="E16" s="12" t="s">
        <v>171</v>
      </c>
      <c r="F16" s="12"/>
      <c r="G16" s="108" t="n">
        <v>0</v>
      </c>
    </row>
    <row r="17">
      <c r="A17" s="93" t="s">
        <v>138</v>
      </c>
      <c r="B17" s="93"/>
      <c r="C17" s="114" t="n">
        <v>1600</v>
      </c>
      <c r="D17" s="93"/>
      <c r="E17" s="12" t="s">
        <v>172</v>
      </c>
      <c r="F17" s="12"/>
      <c r="G17" s="108" t="n">
        <v>0</v>
      </c>
    </row>
    <row r="18">
      <c r="A18" s="93" t="s">
        <v>139</v>
      </c>
      <c r="B18" s="93"/>
      <c r="C18" s="98" t="n">
        <v>0</v>
      </c>
      <c r="D18" s="93"/>
      <c r="E18" s="12" t="s">
        <v>173</v>
      </c>
      <c r="F18" s="12"/>
      <c r="G18" s="58" t="n">
        <f>SUM(G13:G17)</f>
        <v>1800</v>
      </c>
    </row>
    <row r="19">
      <c r="A19" s="93" t="s">
        <v>140</v>
      </c>
      <c r="B19" s="93"/>
      <c r="C19" s="98" t="n">
        <v>0</v>
      </c>
      <c r="D19" s="93"/>
    </row>
    <row r="20">
      <c r="A20" s="93" t="s">
        <v>141</v>
      </c>
      <c r="B20" s="93"/>
      <c r="C20" s="98" t="n">
        <v>0</v>
      </c>
      <c r="D20" s="93"/>
    </row>
    <row r="21">
      <c r="A21" s="93" t="s">
        <v>142</v>
      </c>
      <c r="B21" s="93"/>
      <c r="C21" s="98" t="n">
        <v>1600</v>
      </c>
      <c r="D21" s="93"/>
      <c r="E21" s="12"/>
      <c r="F21" s="12"/>
    </row>
    <row r="22">
      <c r="A22" s="93" t="s">
        <v>143</v>
      </c>
      <c r="B22" s="93"/>
      <c r="C22" s="98" t="n">
        <v>0</v>
      </c>
      <c r="D22" s="93"/>
      <c r="E22" s="124" t="s">
        <v>38</v>
      </c>
      <c r="F22" s="93"/>
      <c r="G22" s="114" t="n">
        <v>6750</v>
      </c>
    </row>
    <row r="23">
      <c r="A23" s="93" t="s">
        <v>144</v>
      </c>
      <c r="B23" s="93"/>
      <c r="C23" s="98" t="n">
        <v>0</v>
      </c>
      <c r="D23" s="93"/>
      <c r="E23" s="93" t="s">
        <v>174</v>
      </c>
      <c r="F23" s="93"/>
      <c r="G23" s="114" t="n">
        <v>0</v>
      </c>
    </row>
    <row r="24">
      <c r="A24" s="93" t="s">
        <v>145</v>
      </c>
      <c r="B24" s="93"/>
      <c r="C24" s="98" t="n">
        <v>0</v>
      </c>
      <c r="D24" s="93"/>
      <c r="E24" s="12" t="s">
        <v>175</v>
      </c>
      <c r="F24" s="12"/>
      <c r="G24" s="108" t="n">
        <v>0</v>
      </c>
    </row>
    <row r="25">
      <c r="A25" s="93" t="s">
        <v>146</v>
      </c>
      <c r="B25" s="93"/>
      <c r="C25" s="114" t="n">
        <v>8415.67</v>
      </c>
      <c r="D25" s="93"/>
    </row>
    <row r="28">
      <c r="B28" s="104" t="s">
        <v>156</v>
      </c>
      <c r="C28" s="115" t="n">
        <v>42885.59</v>
      </c>
      <c r="D28" s="119"/>
      <c r="E28" s="119"/>
      <c r="F28" s="104" t="s">
        <v>176</v>
      </c>
      <c r="G28" s="115" t="n">
        <f>C28-G18+G22+G23+G24</f>
        <v>47835.59</v>
      </c>
    </row>
    <row r="30">
      <c r="A30" s="94" t="s">
        <v>147</v>
      </c>
      <c r="B30" s="105"/>
      <c r="C30" s="105"/>
      <c r="D30" s="105"/>
      <c r="E30" s="105"/>
      <c r="F30" s="105"/>
      <c r="G30" s="134"/>
    </row>
    <row r="31">
      <c r="A31" s="95" t="s">
        <v>148</v>
      </c>
      <c r="B31" s="106"/>
      <c r="C31" s="47" t="s">
        <v>157</v>
      </c>
      <c r="D31" s="120" t="s">
        <v>158</v>
      </c>
      <c r="E31" s="120"/>
      <c r="F31" s="120"/>
      <c r="G31" s="135"/>
    </row>
    <row r="32">
      <c r="A32" s="96" t="s">
        <v>149</v>
      </c>
      <c r="B32" s="98" t="n">
        <v>100.71</v>
      </c>
      <c r="C32" s="116" t="n">
        <v>0</v>
      </c>
      <c r="D32" s="121" t="s">
        <v>159</v>
      </c>
      <c r="E32" s="125" t="n">
        <v>0</v>
      </c>
      <c r="F32" s="121" t="s">
        <v>177</v>
      </c>
      <c r="G32" s="136" t="n">
        <v>0</v>
      </c>
    </row>
    <row r="33">
      <c r="A33" s="96" t="s">
        <v>150</v>
      </c>
      <c r="B33" s="107" t="n">
        <v>11.8</v>
      </c>
      <c r="C33" s="12"/>
      <c r="D33" s="121" t="s">
        <v>160</v>
      </c>
      <c r="E33" s="126" t="n">
        <v>18</v>
      </c>
      <c r="F33" s="121" t="s">
        <v>178</v>
      </c>
      <c r="G33" s="137" t="n">
        <v>0</v>
      </c>
    </row>
    <row r="34">
      <c r="A34" s="96" t="s">
        <v>151</v>
      </c>
      <c r="B34" s="108" t="n">
        <v>0</v>
      </c>
      <c r="C34" s="116" t="n">
        <v>0</v>
      </c>
      <c r="D34" s="121" t="s">
        <v>161</v>
      </c>
      <c r="E34" s="126" t="n">
        <v>18</v>
      </c>
      <c r="F34" s="121" t="s">
        <v>179</v>
      </c>
      <c r="G34" s="137" t="n">
        <v>99</v>
      </c>
    </row>
    <row r="35">
      <c r="A35" s="96" t="s">
        <v>152</v>
      </c>
      <c r="B35" s="107" t="n">
        <f>B32+B33-B34</f>
        <v>112.51</v>
      </c>
      <c r="C35" s="107" t="n">
        <f>C32-C34</f>
        <v>0</v>
      </c>
      <c r="D35" s="121"/>
      <c r="E35" s="127"/>
      <c r="F35" s="121"/>
      <c r="G35" s="138"/>
    </row>
    <row r="36">
      <c r="A36" s="97"/>
      <c r="B36" s="109"/>
      <c r="C36" s="109"/>
      <c r="D36" s="109"/>
      <c r="E36" s="109"/>
      <c r="F36" s="109"/>
      <c r="G36" s="139"/>
    </row>
    <row r="39">
      <c r="A39" s="98"/>
      <c r="B39" s="98"/>
    </row>
    <row r="40">
      <c r="A40" s="35" t="s">
        <v>153</v>
      </c>
    </row>
    <row r="41">
      <c r="A41" s="35" t="s">
        <v>154</v>
      </c>
    </row>
  </sheetData>
  <mergeCells>
    <mergeCell ref="A31:B31"/>
    <mergeCell ref="D31:G31"/>
    <mergeCell ref="A23:B23"/>
    <mergeCell ref="E23:F23"/>
    <mergeCell ref="A24:B24"/>
    <mergeCell ref="E24:F24"/>
    <mergeCell ref="A25:B25"/>
    <mergeCell ref="A30:G30"/>
    <mergeCell ref="A20:B20"/>
    <mergeCell ref="A21:B21"/>
    <mergeCell ref="E21:F21"/>
    <mergeCell ref="A22:B22"/>
    <mergeCell ref="E22:F22"/>
    <mergeCell ref="E17:F17"/>
    <mergeCell ref="A17:B17"/>
    <mergeCell ref="A18:B18"/>
    <mergeCell ref="E18:F18"/>
    <mergeCell ref="A19:B19"/>
    <mergeCell ref="A14:B14"/>
    <mergeCell ref="E14:F14"/>
    <mergeCell ref="A15:B15"/>
    <mergeCell ref="E15:F15"/>
    <mergeCell ref="A16:B16"/>
    <mergeCell ref="E16:F16"/>
    <mergeCell ref="A9:B9"/>
    <mergeCell ref="E9:F9"/>
    <mergeCell ref="E10:F10"/>
    <mergeCell ref="E11:F11"/>
    <mergeCell ref="A13:B13"/>
    <mergeCell ref="E13:F13"/>
    <mergeCell ref="A8:B8"/>
    <mergeCell ref="E8:F8"/>
    <mergeCell ref="B1:G4"/>
    <mergeCell ref="A6:B6"/>
    <mergeCell ref="E6:F6"/>
    <mergeCell ref="A7:B7"/>
    <mergeCell ref="E7:F7"/>
  </mergeCells>
  <pageMargins bottom="0.75" footer="0.3" header="0.3" left="0.7" right="0.7" top="0.75"/>
  <pageSetup paperSize="1" orientation="portrait" scale="69"/>
  <drawing r:id="rId1"/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true"/>
  </sheetPr>
  <dimension ref="A1:G41"/>
  <sheetViews>
    <sheetView zoomScale="95" topLeftCell="A1" workbookViewId="0" showGridLines="true" showRowColHeaders="true">
      <selection activeCell="H1" sqref="H1:H1"/>
    </sheetView>
  </sheetViews>
  <sheetFormatPr customHeight="false" defaultColWidth="20.57421875" defaultRowHeight="15"/>
  <cols>
    <col min="1" max="1" bestFit="false" customWidth="true" width="20.421875" hidden="false" outlineLevel="0"/>
    <col min="2" max="2" bestFit="false" customWidth="true" width="15.57421875" hidden="false" outlineLevel="0"/>
    <col min="3" max="3" bestFit="false" customWidth="true" width="20.57421875" hidden="false" outlineLevel="0"/>
    <col min="4" max="4" bestFit="false" customWidth="true" width="10.57421875" hidden="false" outlineLevel="0"/>
    <col min="5" max="6" bestFit="false" customWidth="true" width="15.57421875" hidden="false" outlineLevel="0"/>
    <col min="7" max="7" bestFit="false" customWidth="true" width="31.7109375" hidden="false" outlineLevel="0"/>
  </cols>
  <sheetData>
    <row r="1" ht="21" customHeight="true">
      <c r="B1" s="99" t="s">
        <v>155</v>
      </c>
      <c r="C1" s="99"/>
      <c r="D1" s="99"/>
      <c r="E1" s="99"/>
      <c r="F1" s="99"/>
      <c r="G1" s="99"/>
    </row>
    <row r="2" ht="14.25" customHeight="true">
      <c r="B2" s="100"/>
      <c r="C2" s="100"/>
      <c r="D2" s="100"/>
      <c r="E2" s="100"/>
      <c r="F2" s="100"/>
      <c r="G2" s="100"/>
    </row>
    <row r="3" ht="14.25" customHeight="true">
      <c r="B3" s="100"/>
      <c r="C3" s="100"/>
      <c r="D3" s="100"/>
      <c r="E3" s="100"/>
      <c r="F3" s="100"/>
      <c r="G3" s="100"/>
    </row>
    <row r="4" ht="14.25" customHeight="true">
      <c r="B4" s="100"/>
      <c r="C4" s="100"/>
      <c r="D4" s="100"/>
      <c r="E4" s="100"/>
      <c r="F4" s="100"/>
      <c r="G4" s="100"/>
    </row>
    <row r="6">
      <c r="A6" s="90" t="s">
        <v>130</v>
      </c>
      <c r="B6" s="101"/>
      <c r="C6" s="110" t="s">
        <v>11</v>
      </c>
      <c r="D6" s="117"/>
      <c r="E6" s="90" t="s">
        <v>162</v>
      </c>
      <c r="F6" s="101"/>
      <c r="G6" s="110" t="s">
        <v>196</v>
      </c>
    </row>
    <row r="7">
      <c r="A7" s="91" t="s">
        <v>131</v>
      </c>
      <c r="B7" s="102"/>
      <c r="C7" s="111"/>
      <c r="D7" s="117"/>
      <c r="E7" s="91" t="s">
        <v>163</v>
      </c>
      <c r="F7" s="102"/>
      <c r="G7" s="111"/>
    </row>
    <row r="8">
      <c r="A8" s="91" t="s">
        <v>132</v>
      </c>
      <c r="B8" s="102"/>
      <c r="C8" s="112" t="n">
        <v>763401501683</v>
      </c>
      <c r="D8" s="118"/>
      <c r="E8" s="91" t="s">
        <v>164</v>
      </c>
      <c r="F8" s="102"/>
      <c r="G8" s="130" t="s">
        <v>197</v>
      </c>
    </row>
    <row r="9">
      <c r="A9" s="92" t="s">
        <v>133</v>
      </c>
      <c r="B9" s="103"/>
      <c r="C9" s="113" t="n">
        <v>46113</v>
      </c>
      <c r="D9" s="117"/>
      <c r="E9" s="91" t="s">
        <v>165</v>
      </c>
      <c r="F9" s="102"/>
      <c r="G9" s="131" t="n">
        <v>23</v>
      </c>
    </row>
    <row r="10">
      <c r="E10" s="122" t="s">
        <v>166</v>
      </c>
      <c r="F10" s="128"/>
      <c r="G10" s="132" t="n">
        <v>22896</v>
      </c>
    </row>
    <row r="11">
      <c r="E11" s="123" t="s">
        <v>167</v>
      </c>
      <c r="F11" s="129"/>
      <c r="G11" s="133" t="n">
        <v>180</v>
      </c>
    </row>
    <row r="13">
      <c r="A13" s="93" t="s">
        <v>134</v>
      </c>
      <c r="B13" s="93"/>
      <c r="C13" s="114" t="n">
        <v>10567.8</v>
      </c>
      <c r="E13" s="12" t="s">
        <v>168</v>
      </c>
      <c r="F13" s="12"/>
      <c r="G13" s="98" t="n">
        <v>1800</v>
      </c>
    </row>
    <row r="14">
      <c r="A14" s="93" t="s">
        <v>135</v>
      </c>
      <c r="B14" s="93"/>
      <c r="C14" s="114" t="n">
        <v>4227.12</v>
      </c>
      <c r="D14" s="93"/>
      <c r="E14" s="12" t="s">
        <v>169</v>
      </c>
      <c r="F14" s="12"/>
      <c r="G14" s="108" t="n">
        <v>0</v>
      </c>
    </row>
    <row r="15">
      <c r="A15" s="93" t="s">
        <v>136</v>
      </c>
      <c r="B15" s="93"/>
      <c r="C15" s="114" t="n">
        <v>0</v>
      </c>
      <c r="D15" s="93"/>
      <c r="E15" s="12" t="s">
        <v>170</v>
      </c>
      <c r="F15" s="12"/>
      <c r="G15" s="108" t="n">
        <v>0</v>
      </c>
    </row>
    <row r="16">
      <c r="A16" s="93" t="s">
        <v>137</v>
      </c>
      <c r="B16" s="93"/>
      <c r="C16" s="114" t="n">
        <v>1250</v>
      </c>
      <c r="D16" s="93"/>
      <c r="E16" s="12" t="s">
        <v>171</v>
      </c>
      <c r="F16" s="12"/>
      <c r="G16" s="108" t="n">
        <v>0</v>
      </c>
    </row>
    <row r="17">
      <c r="A17" s="93" t="s">
        <v>138</v>
      </c>
      <c r="B17" s="93"/>
      <c r="C17" s="114" t="n">
        <v>1600</v>
      </c>
      <c r="D17" s="93"/>
      <c r="E17" s="12" t="s">
        <v>172</v>
      </c>
      <c r="F17" s="12"/>
      <c r="G17" s="108" t="n">
        <v>0</v>
      </c>
    </row>
    <row r="18">
      <c r="A18" s="93" t="s">
        <v>139</v>
      </c>
      <c r="B18" s="93"/>
      <c r="C18" s="98" t="n">
        <v>0</v>
      </c>
      <c r="D18" s="93"/>
      <c r="E18" s="12" t="s">
        <v>173</v>
      </c>
      <c r="F18" s="12"/>
      <c r="G18" s="58" t="n">
        <f>SUM(G13:G17)</f>
        <v>1800</v>
      </c>
    </row>
    <row r="19">
      <c r="A19" s="93" t="s">
        <v>140</v>
      </c>
      <c r="B19" s="93"/>
      <c r="C19" s="98" t="n">
        <v>0</v>
      </c>
      <c r="D19" s="93"/>
    </row>
    <row r="20">
      <c r="A20" s="93" t="s">
        <v>141</v>
      </c>
      <c r="B20" s="93"/>
      <c r="C20" s="98" t="n">
        <v>0</v>
      </c>
      <c r="D20" s="93"/>
    </row>
    <row r="21">
      <c r="A21" s="93" t="s">
        <v>142</v>
      </c>
      <c r="B21" s="93"/>
      <c r="C21" s="98" t="n">
        <v>1600</v>
      </c>
      <c r="D21" s="93"/>
      <c r="E21" s="12"/>
      <c r="F21" s="12"/>
    </row>
    <row r="22">
      <c r="A22" s="93" t="s">
        <v>143</v>
      </c>
      <c r="B22" s="93"/>
      <c r="C22" s="98" t="n">
        <v>0</v>
      </c>
      <c r="D22" s="93"/>
      <c r="E22" s="124" t="s">
        <v>38</v>
      </c>
      <c r="F22" s="93"/>
      <c r="G22" s="114" t="n">
        <v>3000</v>
      </c>
    </row>
    <row r="23">
      <c r="A23" s="93" t="s">
        <v>144</v>
      </c>
      <c r="B23" s="93"/>
      <c r="C23" s="98" t="n">
        <v>0</v>
      </c>
      <c r="D23" s="93"/>
      <c r="E23" s="93" t="s">
        <v>174</v>
      </c>
      <c r="F23" s="93"/>
      <c r="G23" s="114" t="n">
        <v>0</v>
      </c>
    </row>
    <row r="24">
      <c r="A24" s="93" t="s">
        <v>145</v>
      </c>
      <c r="B24" s="93"/>
      <c r="C24" s="98" t="n">
        <v>0</v>
      </c>
      <c r="D24" s="93"/>
      <c r="E24" s="12" t="s">
        <v>175</v>
      </c>
      <c r="F24" s="12"/>
      <c r="G24" s="108" t="n">
        <v>0</v>
      </c>
    </row>
    <row r="25">
      <c r="A25" s="93" t="s">
        <v>146</v>
      </c>
      <c r="B25" s="93"/>
      <c r="C25" s="114" t="n">
        <v>1890.68</v>
      </c>
      <c r="D25" s="93"/>
    </row>
    <row r="28">
      <c r="B28" s="104" t="s">
        <v>156</v>
      </c>
      <c r="C28" s="115" t="n">
        <v>21135.6</v>
      </c>
      <c r="D28" s="119"/>
      <c r="E28" s="119"/>
      <c r="F28" s="104" t="s">
        <v>176</v>
      </c>
      <c r="G28" s="115" t="n">
        <f>C28-G18+G22+G23+G24</f>
        <v>22335.6</v>
      </c>
    </row>
    <row r="30">
      <c r="A30" s="94" t="s">
        <v>147</v>
      </c>
      <c r="B30" s="105"/>
      <c r="C30" s="105"/>
      <c r="D30" s="105"/>
      <c r="E30" s="105"/>
      <c r="F30" s="105"/>
      <c r="G30" s="134"/>
    </row>
    <row r="31">
      <c r="A31" s="95" t="s">
        <v>148</v>
      </c>
      <c r="B31" s="106"/>
      <c r="C31" s="47" t="s">
        <v>157</v>
      </c>
      <c r="D31" s="120" t="s">
        <v>158</v>
      </c>
      <c r="E31" s="120"/>
      <c r="F31" s="120"/>
      <c r="G31" s="135"/>
    </row>
    <row r="32">
      <c r="A32" s="96" t="s">
        <v>149</v>
      </c>
      <c r="B32" s="98" t="n">
        <v>52.8</v>
      </c>
      <c r="C32" s="116" t="n">
        <v>0</v>
      </c>
      <c r="D32" s="121" t="s">
        <v>159</v>
      </c>
      <c r="E32" s="125" t="n">
        <v>0</v>
      </c>
      <c r="F32" s="121" t="s">
        <v>177</v>
      </c>
      <c r="G32" s="136" t="n">
        <v>0</v>
      </c>
    </row>
    <row r="33">
      <c r="A33" s="96" t="s">
        <v>150</v>
      </c>
      <c r="B33" s="107" t="n">
        <v>10.13</v>
      </c>
      <c r="C33" s="12"/>
      <c r="D33" s="121" t="s">
        <v>160</v>
      </c>
      <c r="E33" s="126" t="n">
        <v>18</v>
      </c>
      <c r="F33" s="121" t="s">
        <v>178</v>
      </c>
      <c r="G33" s="137" t="n">
        <v>0</v>
      </c>
    </row>
    <row r="34">
      <c r="A34" s="96" t="s">
        <v>151</v>
      </c>
      <c r="B34" s="108" t="n">
        <v>0</v>
      </c>
      <c r="C34" s="116" t="n">
        <v>0</v>
      </c>
      <c r="D34" s="121" t="s">
        <v>161</v>
      </c>
      <c r="E34" s="126" t="n">
        <v>-9</v>
      </c>
      <c r="F34" s="121" t="s">
        <v>179</v>
      </c>
      <c r="G34" s="137" t="n">
        <v>63</v>
      </c>
    </row>
    <row r="35">
      <c r="A35" s="96" t="s">
        <v>152</v>
      </c>
      <c r="B35" s="107" t="n">
        <f>B32+B33-B34</f>
        <v>62.93</v>
      </c>
      <c r="C35" s="107" t="n">
        <f>C32-C34</f>
        <v>0</v>
      </c>
      <c r="D35" s="121"/>
      <c r="E35" s="127"/>
      <c r="F35" s="121"/>
      <c r="G35" s="138"/>
    </row>
    <row r="36">
      <c r="A36" s="97"/>
      <c r="B36" s="109"/>
      <c r="C36" s="109"/>
      <c r="D36" s="109"/>
      <c r="E36" s="109"/>
      <c r="F36" s="109"/>
      <c r="G36" s="139"/>
    </row>
    <row r="39">
      <c r="A39" s="98"/>
      <c r="B39" s="98"/>
    </row>
    <row r="40">
      <c r="A40" s="35" t="s">
        <v>153</v>
      </c>
    </row>
    <row r="41">
      <c r="A41" s="35" t="s">
        <v>154</v>
      </c>
    </row>
  </sheetData>
  <mergeCells>
    <mergeCell ref="A31:B31"/>
    <mergeCell ref="D31:G31"/>
    <mergeCell ref="A23:B23"/>
    <mergeCell ref="E23:F23"/>
    <mergeCell ref="A24:B24"/>
    <mergeCell ref="E24:F24"/>
    <mergeCell ref="A25:B25"/>
    <mergeCell ref="A30:G30"/>
    <mergeCell ref="A20:B20"/>
    <mergeCell ref="A21:B21"/>
    <mergeCell ref="E21:F21"/>
    <mergeCell ref="A22:B22"/>
    <mergeCell ref="E22:F22"/>
    <mergeCell ref="E17:F17"/>
    <mergeCell ref="A17:B17"/>
    <mergeCell ref="A18:B18"/>
    <mergeCell ref="E18:F18"/>
    <mergeCell ref="A19:B19"/>
    <mergeCell ref="A14:B14"/>
    <mergeCell ref="E14:F14"/>
    <mergeCell ref="A15:B15"/>
    <mergeCell ref="E15:F15"/>
    <mergeCell ref="A16:B16"/>
    <mergeCell ref="E16:F16"/>
    <mergeCell ref="A9:B9"/>
    <mergeCell ref="E9:F9"/>
    <mergeCell ref="E10:F10"/>
    <mergeCell ref="E11:F11"/>
    <mergeCell ref="A13:B13"/>
    <mergeCell ref="E13:F13"/>
    <mergeCell ref="A8:B8"/>
    <mergeCell ref="E8:F8"/>
    <mergeCell ref="B1:G4"/>
    <mergeCell ref="A6:B6"/>
    <mergeCell ref="E6:F6"/>
    <mergeCell ref="A7:B7"/>
    <mergeCell ref="E7:F7"/>
  </mergeCells>
  <pageMargins bottom="0.75" footer="0.3" header="0.3" left="0.7" right="0.7" top="0.75"/>
  <pageSetup paperSize="1" orientation="portrait" scale="69"/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true"/>
  </sheetPr>
  <dimension ref="A1:G41"/>
  <sheetViews>
    <sheetView zoomScale="95" topLeftCell="A1" workbookViewId="0" showGridLines="true" showRowColHeaders="true">
      <selection activeCell="H1" sqref="H1:H1"/>
    </sheetView>
  </sheetViews>
  <sheetFormatPr customHeight="false" defaultColWidth="20.57421875" defaultRowHeight="15"/>
  <cols>
    <col min="1" max="1" bestFit="false" customWidth="true" width="20.421875" hidden="false" outlineLevel="0"/>
    <col min="2" max="2" bestFit="false" customWidth="true" width="15.57421875" hidden="false" outlineLevel="0"/>
    <col min="3" max="3" bestFit="false" customWidth="true" width="20.57421875" hidden="false" outlineLevel="0"/>
    <col min="4" max="4" bestFit="false" customWidth="true" width="10.57421875" hidden="false" outlineLevel="0"/>
    <col min="5" max="6" bestFit="false" customWidth="true" width="15.57421875" hidden="false" outlineLevel="0"/>
    <col min="7" max="7" bestFit="false" customWidth="true" width="31.7109375" hidden="false" outlineLevel="0"/>
  </cols>
  <sheetData>
    <row r="1" ht="21" customHeight="true">
      <c r="B1" s="99" t="s">
        <v>155</v>
      </c>
      <c r="C1" s="99"/>
      <c r="D1" s="99"/>
      <c r="E1" s="99"/>
      <c r="F1" s="99"/>
      <c r="G1" s="99"/>
    </row>
    <row r="2" ht="14.25" customHeight="true">
      <c r="B2" s="100"/>
      <c r="C2" s="100"/>
      <c r="D2" s="100"/>
      <c r="E2" s="100"/>
      <c r="F2" s="100"/>
      <c r="G2" s="100"/>
    </row>
    <row r="3" ht="14.25" customHeight="true">
      <c r="B3" s="100"/>
      <c r="C3" s="100"/>
      <c r="D3" s="100"/>
      <c r="E3" s="100"/>
      <c r="F3" s="100"/>
      <c r="G3" s="100"/>
    </row>
    <row r="4" ht="14.25" customHeight="true">
      <c r="B4" s="100"/>
      <c r="C4" s="100"/>
      <c r="D4" s="100"/>
      <c r="E4" s="100"/>
      <c r="F4" s="100"/>
      <c r="G4" s="100"/>
    </row>
    <row r="6">
      <c r="A6" s="90" t="s">
        <v>130</v>
      </c>
      <c r="B6" s="101"/>
      <c r="C6" s="110" t="s">
        <v>22</v>
      </c>
      <c r="D6" s="117"/>
      <c r="E6" s="90" t="s">
        <v>162</v>
      </c>
      <c r="F6" s="101"/>
      <c r="G6" s="110" t="s">
        <v>194</v>
      </c>
    </row>
    <row r="7">
      <c r="A7" s="91" t="s">
        <v>131</v>
      </c>
      <c r="B7" s="102"/>
      <c r="C7" s="111"/>
      <c r="D7" s="117"/>
      <c r="E7" s="91" t="s">
        <v>163</v>
      </c>
      <c r="F7" s="102"/>
      <c r="G7" s="111"/>
    </row>
    <row r="8">
      <c r="A8" s="91" t="s">
        <v>132</v>
      </c>
      <c r="B8" s="102"/>
      <c r="C8" s="112" t="n">
        <v>50100117585337</v>
      </c>
      <c r="D8" s="118"/>
      <c r="E8" s="91" t="s">
        <v>164</v>
      </c>
      <c r="F8" s="102"/>
      <c r="G8" s="130" t="s">
        <v>198</v>
      </c>
    </row>
    <row r="9">
      <c r="A9" s="92" t="s">
        <v>133</v>
      </c>
      <c r="B9" s="103"/>
      <c r="C9" s="113" t="n">
        <v>46113</v>
      </c>
      <c r="D9" s="117"/>
      <c r="E9" s="91" t="s">
        <v>165</v>
      </c>
      <c r="F9" s="102"/>
      <c r="G9" s="131" t="n">
        <v>23</v>
      </c>
    </row>
    <row r="10">
      <c r="E10" s="122" t="s">
        <v>166</v>
      </c>
      <c r="F10" s="128"/>
      <c r="G10" s="132" t="n">
        <v>44074.8</v>
      </c>
    </row>
    <row r="11">
      <c r="E11" s="123" t="s">
        <v>167</v>
      </c>
      <c r="F11" s="129"/>
      <c r="G11" s="133" t="n">
        <v>208.28</v>
      </c>
    </row>
    <row r="13">
      <c r="A13" s="93" t="s">
        <v>134</v>
      </c>
      <c r="B13" s="93"/>
      <c r="C13" s="114" t="n">
        <v>24554.82</v>
      </c>
      <c r="E13" s="12" t="s">
        <v>168</v>
      </c>
      <c r="F13" s="12"/>
      <c r="G13" s="98" t="n">
        <v>1800</v>
      </c>
    </row>
    <row r="14">
      <c r="A14" s="93" t="s">
        <v>135</v>
      </c>
      <c r="B14" s="93"/>
      <c r="C14" s="114" t="n">
        <v>9821.93</v>
      </c>
      <c r="D14" s="93"/>
      <c r="E14" s="12" t="s">
        <v>169</v>
      </c>
      <c r="F14" s="12"/>
      <c r="G14" s="108" t="n">
        <v>0</v>
      </c>
    </row>
    <row r="15">
      <c r="A15" s="93" t="s">
        <v>136</v>
      </c>
      <c r="B15" s="93"/>
      <c r="C15" s="114" t="n">
        <v>0</v>
      </c>
      <c r="D15" s="93"/>
      <c r="E15" s="12" t="s">
        <v>170</v>
      </c>
      <c r="F15" s="12"/>
      <c r="G15" s="108" t="n">
        <v>0</v>
      </c>
    </row>
    <row r="16">
      <c r="A16" s="93" t="s">
        <v>137</v>
      </c>
      <c r="B16" s="93"/>
      <c r="C16" s="114" t="n">
        <v>1250</v>
      </c>
      <c r="D16" s="93"/>
      <c r="E16" s="12" t="s">
        <v>171</v>
      </c>
      <c r="F16" s="12"/>
      <c r="G16" s="108" t="n">
        <v>0</v>
      </c>
    </row>
    <row r="17">
      <c r="A17" s="93" t="s">
        <v>138</v>
      </c>
      <c r="B17" s="93"/>
      <c r="C17" s="114" t="n">
        <v>1600</v>
      </c>
      <c r="D17" s="93"/>
      <c r="E17" s="12" t="s">
        <v>172</v>
      </c>
      <c r="F17" s="12"/>
      <c r="G17" s="108" t="n">
        <v>0</v>
      </c>
    </row>
    <row r="18">
      <c r="A18" s="93" t="s">
        <v>139</v>
      </c>
      <c r="B18" s="93"/>
      <c r="C18" s="98" t="n">
        <v>0</v>
      </c>
      <c r="D18" s="93"/>
      <c r="E18" s="12" t="s">
        <v>173</v>
      </c>
      <c r="F18" s="12"/>
      <c r="G18" s="58" t="n">
        <f>SUM(G13:G17)</f>
        <v>1800</v>
      </c>
    </row>
    <row r="19">
      <c r="A19" s="93" t="s">
        <v>140</v>
      </c>
      <c r="B19" s="93"/>
      <c r="C19" s="98" t="n">
        <v>0</v>
      </c>
      <c r="D19" s="93"/>
    </row>
    <row r="20">
      <c r="A20" s="93" t="s">
        <v>141</v>
      </c>
      <c r="B20" s="93"/>
      <c r="C20" s="98" t="n">
        <v>0</v>
      </c>
      <c r="D20" s="93"/>
    </row>
    <row r="21">
      <c r="A21" s="93" t="s">
        <v>142</v>
      </c>
      <c r="B21" s="93"/>
      <c r="C21" s="98" t="n">
        <v>1600</v>
      </c>
      <c r="D21" s="93"/>
      <c r="E21" s="12"/>
      <c r="F21" s="12"/>
    </row>
    <row r="22">
      <c r="A22" s="93" t="s">
        <v>143</v>
      </c>
      <c r="B22" s="93"/>
      <c r="C22" s="98" t="n">
        <v>0</v>
      </c>
      <c r="D22" s="93"/>
      <c r="E22" s="124" t="s">
        <v>38</v>
      </c>
      <c r="F22" s="93"/>
      <c r="G22" s="114" t="n">
        <v>1350</v>
      </c>
    </row>
    <row r="23">
      <c r="A23" s="93" t="s">
        <v>144</v>
      </c>
      <c r="B23" s="93"/>
      <c r="C23" s="98" t="n">
        <v>0</v>
      </c>
      <c r="D23" s="93"/>
      <c r="E23" s="93" t="s">
        <v>174</v>
      </c>
      <c r="F23" s="93"/>
      <c r="G23" s="114" t="n">
        <v>0</v>
      </c>
    </row>
    <row r="24">
      <c r="A24" s="93" t="s">
        <v>145</v>
      </c>
      <c r="B24" s="93"/>
      <c r="C24" s="98" t="n">
        <v>0</v>
      </c>
      <c r="D24" s="93"/>
      <c r="E24" s="12" t="s">
        <v>175</v>
      </c>
      <c r="F24" s="12"/>
      <c r="G24" s="108" t="n">
        <v>0</v>
      </c>
    </row>
    <row r="25">
      <c r="A25" s="93" t="s">
        <v>146</v>
      </c>
      <c r="B25" s="93"/>
      <c r="C25" s="114" t="n">
        <v>10282.88</v>
      </c>
      <c r="D25" s="93"/>
    </row>
    <row r="28">
      <c r="B28" s="104" t="s">
        <v>156</v>
      </c>
      <c r="C28" s="115" t="n">
        <v>49109.63</v>
      </c>
      <c r="D28" s="119"/>
      <c r="E28" s="119"/>
      <c r="F28" s="104" t="s">
        <v>176</v>
      </c>
      <c r="G28" s="115" t="n">
        <f>C28-G18+G22+G23+G24</f>
        <v>48659.63</v>
      </c>
    </row>
    <row r="30">
      <c r="A30" s="94" t="s">
        <v>147</v>
      </c>
      <c r="B30" s="105"/>
      <c r="C30" s="105"/>
      <c r="D30" s="105"/>
      <c r="E30" s="105"/>
      <c r="F30" s="105"/>
      <c r="G30" s="134"/>
    </row>
    <row r="31">
      <c r="A31" s="95" t="s">
        <v>148</v>
      </c>
      <c r="B31" s="106"/>
      <c r="C31" s="47" t="s">
        <v>157</v>
      </c>
      <c r="D31" s="120" t="s">
        <v>158</v>
      </c>
      <c r="E31" s="120"/>
      <c r="F31" s="120"/>
      <c r="G31" s="135"/>
    </row>
    <row r="32">
      <c r="A32" s="96" t="s">
        <v>149</v>
      </c>
      <c r="B32" s="98" t="n">
        <v>56.57</v>
      </c>
      <c r="C32" s="116" t="n">
        <v>0</v>
      </c>
      <c r="D32" s="121" t="s">
        <v>159</v>
      </c>
      <c r="E32" s="125" t="n">
        <v>0</v>
      </c>
      <c r="F32" s="121" t="s">
        <v>177</v>
      </c>
      <c r="G32" s="136" t="n">
        <v>0</v>
      </c>
    </row>
    <row r="33">
      <c r="A33" s="96" t="s">
        <v>150</v>
      </c>
      <c r="B33" s="107" t="n">
        <v>11.72</v>
      </c>
      <c r="C33" s="12"/>
      <c r="D33" s="121" t="s">
        <v>160</v>
      </c>
      <c r="E33" s="126" t="n">
        <v>18</v>
      </c>
      <c r="F33" s="121" t="s">
        <v>178</v>
      </c>
      <c r="G33" s="137" t="n">
        <v>0</v>
      </c>
    </row>
    <row r="34">
      <c r="A34" s="96" t="s">
        <v>151</v>
      </c>
      <c r="B34" s="108" t="n">
        <v>9</v>
      </c>
      <c r="C34" s="116" t="n">
        <v>0</v>
      </c>
      <c r="D34" s="121" t="s">
        <v>161</v>
      </c>
      <c r="E34" s="126" t="n">
        <v>27</v>
      </c>
      <c r="F34" s="121" t="s">
        <v>179</v>
      </c>
      <c r="G34" s="137" t="n">
        <v>27</v>
      </c>
    </row>
    <row r="35">
      <c r="A35" s="96" t="s">
        <v>152</v>
      </c>
      <c r="B35" s="107" t="n">
        <f>B32+B33-B34</f>
        <v>59.29</v>
      </c>
      <c r="C35" s="107" t="n">
        <f>C32-C34</f>
        <v>0</v>
      </c>
      <c r="D35" s="121"/>
      <c r="E35" s="127"/>
      <c r="F35" s="121"/>
      <c r="G35" s="138"/>
    </row>
    <row r="36">
      <c r="A36" s="97"/>
      <c r="B36" s="109"/>
      <c r="C36" s="109"/>
      <c r="D36" s="109"/>
      <c r="E36" s="109"/>
      <c r="F36" s="109"/>
      <c r="G36" s="139"/>
    </row>
    <row r="39">
      <c r="A39" s="98"/>
      <c r="B39" s="98"/>
    </row>
    <row r="40">
      <c r="A40" s="35" t="s">
        <v>153</v>
      </c>
    </row>
    <row r="41">
      <c r="A41" s="35" t="s">
        <v>154</v>
      </c>
    </row>
  </sheetData>
  <mergeCells>
    <mergeCell ref="A31:B31"/>
    <mergeCell ref="D31:G31"/>
    <mergeCell ref="A23:B23"/>
    <mergeCell ref="E23:F23"/>
    <mergeCell ref="A24:B24"/>
    <mergeCell ref="E24:F24"/>
    <mergeCell ref="A25:B25"/>
    <mergeCell ref="A30:G30"/>
    <mergeCell ref="A20:B20"/>
    <mergeCell ref="A21:B21"/>
    <mergeCell ref="E21:F21"/>
    <mergeCell ref="A22:B22"/>
    <mergeCell ref="E22:F22"/>
    <mergeCell ref="E17:F17"/>
    <mergeCell ref="A17:B17"/>
    <mergeCell ref="A18:B18"/>
    <mergeCell ref="E18:F18"/>
    <mergeCell ref="A19:B19"/>
    <mergeCell ref="A14:B14"/>
    <mergeCell ref="E14:F14"/>
    <mergeCell ref="A15:B15"/>
    <mergeCell ref="E15:F15"/>
    <mergeCell ref="A16:B16"/>
    <mergeCell ref="E16:F16"/>
    <mergeCell ref="A9:B9"/>
    <mergeCell ref="E9:F9"/>
    <mergeCell ref="E10:F10"/>
    <mergeCell ref="E11:F11"/>
    <mergeCell ref="A13:B13"/>
    <mergeCell ref="E13:F13"/>
    <mergeCell ref="A8:B8"/>
    <mergeCell ref="E8:F8"/>
    <mergeCell ref="B1:G4"/>
    <mergeCell ref="A6:B6"/>
    <mergeCell ref="E6:F6"/>
    <mergeCell ref="A7:B7"/>
    <mergeCell ref="E7:F7"/>
  </mergeCells>
  <pageMargins bottom="0.75" footer="0.3" header="0.3" left="0.7" right="0.7" top="0.75"/>
  <pageSetup paperSize="1" orientation="portrait" scale="69"/>
  <drawing r:id="rId1"/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true"/>
  </sheetPr>
  <dimension ref="A1:G41"/>
  <sheetViews>
    <sheetView zoomScale="95" topLeftCell="A1" workbookViewId="0" showGridLines="true" showRowColHeaders="true">
      <selection activeCell="H1" sqref="H1:H1"/>
    </sheetView>
  </sheetViews>
  <sheetFormatPr customHeight="false" defaultColWidth="20.57421875" defaultRowHeight="15"/>
  <cols>
    <col min="1" max="1" bestFit="false" customWidth="true" width="20.421875" hidden="false" outlineLevel="0"/>
    <col min="2" max="2" bestFit="false" customWidth="true" width="15.57421875" hidden="false" outlineLevel="0"/>
    <col min="3" max="3" bestFit="false" customWidth="true" width="20.57421875" hidden="false" outlineLevel="0"/>
    <col min="4" max="4" bestFit="false" customWidth="true" width="10.57421875" hidden="false" outlineLevel="0"/>
    <col min="5" max="6" bestFit="false" customWidth="true" width="15.57421875" hidden="false" outlineLevel="0"/>
    <col min="7" max="7" bestFit="false" customWidth="true" width="31.7109375" hidden="false" outlineLevel="0"/>
  </cols>
  <sheetData>
    <row r="1" ht="21" customHeight="true">
      <c r="B1" s="99" t="s">
        <v>155</v>
      </c>
      <c r="C1" s="99"/>
      <c r="D1" s="99"/>
      <c r="E1" s="99"/>
      <c r="F1" s="99"/>
      <c r="G1" s="99"/>
    </row>
    <row r="2" ht="14.25" customHeight="true">
      <c r="B2" s="100"/>
      <c r="C2" s="100"/>
      <c r="D2" s="100"/>
      <c r="E2" s="100"/>
      <c r="F2" s="100"/>
      <c r="G2" s="100"/>
    </row>
    <row r="3" ht="14.25" customHeight="true">
      <c r="B3" s="100"/>
      <c r="C3" s="100"/>
      <c r="D3" s="100"/>
      <c r="E3" s="100"/>
      <c r="F3" s="100"/>
      <c r="G3" s="100"/>
    </row>
    <row r="4" ht="14.25" customHeight="true">
      <c r="B4" s="100"/>
      <c r="C4" s="100"/>
      <c r="D4" s="100"/>
      <c r="E4" s="100"/>
      <c r="F4" s="100"/>
      <c r="G4" s="100"/>
    </row>
    <row r="6">
      <c r="A6" s="90" t="s">
        <v>130</v>
      </c>
      <c r="B6" s="101"/>
      <c r="C6" s="110" t="s">
        <v>12</v>
      </c>
      <c r="D6" s="117"/>
      <c r="E6" s="90" t="s">
        <v>162</v>
      </c>
      <c r="F6" s="101"/>
      <c r="G6" s="110" t="s">
        <v>199</v>
      </c>
    </row>
    <row r="7">
      <c r="A7" s="91" t="s">
        <v>131</v>
      </c>
      <c r="B7" s="102"/>
      <c r="C7" s="111"/>
      <c r="D7" s="117"/>
      <c r="E7" s="91" t="s">
        <v>163</v>
      </c>
      <c r="F7" s="102"/>
      <c r="G7" s="111"/>
    </row>
    <row r="8">
      <c r="A8" s="91" t="s">
        <v>132</v>
      </c>
      <c r="B8" s="102"/>
      <c r="C8" s="112" t="n">
        <v>913010023521184</v>
      </c>
      <c r="D8" s="118"/>
      <c r="E8" s="91" t="s">
        <v>164</v>
      </c>
      <c r="F8" s="102"/>
      <c r="G8" s="130" t="s">
        <v>200</v>
      </c>
    </row>
    <row r="9">
      <c r="A9" s="92" t="s">
        <v>133</v>
      </c>
      <c r="B9" s="103"/>
      <c r="C9" s="113" t="n">
        <v>46113</v>
      </c>
      <c r="D9" s="117"/>
      <c r="E9" s="91" t="s">
        <v>165</v>
      </c>
      <c r="F9" s="102"/>
      <c r="G9" s="131" t="n">
        <v>23</v>
      </c>
    </row>
    <row r="10">
      <c r="E10" s="122" t="s">
        <v>166</v>
      </c>
      <c r="F10" s="128"/>
      <c r="G10" s="132" t="n">
        <v>53955</v>
      </c>
    </row>
    <row r="11">
      <c r="E11" s="123" t="s">
        <v>167</v>
      </c>
      <c r="F11" s="129"/>
      <c r="G11" s="133" t="n">
        <v>246.93</v>
      </c>
    </row>
    <row r="13">
      <c r="A13" s="93" t="s">
        <v>134</v>
      </c>
      <c r="B13" s="93"/>
      <c r="C13" s="114" t="n">
        <v>35406.64</v>
      </c>
      <c r="E13" s="12" t="s">
        <v>168</v>
      </c>
      <c r="F13" s="12"/>
      <c r="G13" s="98" t="n">
        <v>1800</v>
      </c>
    </row>
    <row r="14">
      <c r="A14" s="93" t="s">
        <v>135</v>
      </c>
      <c r="B14" s="93"/>
      <c r="C14" s="114" t="n">
        <v>14162.66</v>
      </c>
      <c r="D14" s="93"/>
      <c r="E14" s="12" t="s">
        <v>169</v>
      </c>
      <c r="F14" s="12"/>
      <c r="G14" s="108" t="n">
        <v>0</v>
      </c>
    </row>
    <row r="15">
      <c r="A15" s="93" t="s">
        <v>136</v>
      </c>
      <c r="B15" s="93"/>
      <c r="C15" s="114" t="n">
        <v>0</v>
      </c>
      <c r="D15" s="93"/>
      <c r="E15" s="12" t="s">
        <v>170</v>
      </c>
      <c r="F15" s="12"/>
      <c r="G15" s="108" t="n">
        <v>0</v>
      </c>
    </row>
    <row r="16">
      <c r="A16" s="93" t="s">
        <v>137</v>
      </c>
      <c r="B16" s="93"/>
      <c r="C16" s="114" t="n">
        <v>1250</v>
      </c>
      <c r="D16" s="93"/>
      <c r="E16" s="12" t="s">
        <v>171</v>
      </c>
      <c r="F16" s="12"/>
      <c r="G16" s="108" t="n">
        <v>0</v>
      </c>
    </row>
    <row r="17">
      <c r="A17" s="93" t="s">
        <v>138</v>
      </c>
      <c r="B17" s="93"/>
      <c r="C17" s="114" t="n">
        <v>1600</v>
      </c>
      <c r="D17" s="93"/>
      <c r="E17" s="12" t="s">
        <v>172</v>
      </c>
      <c r="F17" s="12"/>
      <c r="G17" s="108" t="n">
        <v>0</v>
      </c>
    </row>
    <row r="18">
      <c r="A18" s="93" t="s">
        <v>139</v>
      </c>
      <c r="B18" s="93"/>
      <c r="C18" s="98" t="n">
        <v>0</v>
      </c>
      <c r="D18" s="93"/>
      <c r="E18" s="12" t="s">
        <v>173</v>
      </c>
      <c r="F18" s="12"/>
      <c r="G18" s="58" t="n">
        <f>SUM(G13:G17)</f>
        <v>1800</v>
      </c>
    </row>
    <row r="19">
      <c r="A19" s="93" t="s">
        <v>140</v>
      </c>
      <c r="B19" s="93"/>
      <c r="C19" s="98" t="n">
        <v>0</v>
      </c>
      <c r="D19" s="93"/>
    </row>
    <row r="20">
      <c r="A20" s="93" t="s">
        <v>141</v>
      </c>
      <c r="B20" s="93"/>
      <c r="C20" s="98" t="n">
        <v>0</v>
      </c>
      <c r="D20" s="93"/>
    </row>
    <row r="21">
      <c r="A21" s="93" t="s">
        <v>142</v>
      </c>
      <c r="B21" s="93"/>
      <c r="C21" s="98" t="n">
        <v>1600</v>
      </c>
      <c r="D21" s="93"/>
      <c r="E21" s="12"/>
      <c r="F21" s="12"/>
    </row>
    <row r="22">
      <c r="A22" s="93" t="s">
        <v>143</v>
      </c>
      <c r="B22" s="93"/>
      <c r="C22" s="98" t="n">
        <v>0</v>
      </c>
      <c r="D22" s="93"/>
      <c r="E22" s="124" t="s">
        <v>38</v>
      </c>
      <c r="F22" s="93"/>
      <c r="G22" s="114" t="n">
        <v>5250</v>
      </c>
    </row>
    <row r="23">
      <c r="A23" s="93" t="s">
        <v>144</v>
      </c>
      <c r="B23" s="93"/>
      <c r="C23" s="98" t="n">
        <v>0</v>
      </c>
      <c r="D23" s="93"/>
      <c r="E23" s="93" t="s">
        <v>174</v>
      </c>
      <c r="F23" s="93"/>
      <c r="G23" s="114" t="n">
        <v>0</v>
      </c>
    </row>
    <row r="24">
      <c r="A24" s="93" t="s">
        <v>145</v>
      </c>
      <c r="B24" s="93"/>
      <c r="C24" s="98" t="n">
        <v>0</v>
      </c>
      <c r="D24" s="93"/>
      <c r="E24" s="12" t="s">
        <v>175</v>
      </c>
      <c r="F24" s="12"/>
      <c r="G24" s="108" t="n">
        <v>0</v>
      </c>
    </row>
    <row r="25">
      <c r="A25" s="93" t="s">
        <v>146</v>
      </c>
      <c r="B25" s="93"/>
      <c r="C25" s="114" t="n">
        <v>16793.97</v>
      </c>
      <c r="D25" s="93"/>
    </row>
    <row r="28">
      <c r="B28" s="104" t="s">
        <v>156</v>
      </c>
      <c r="C28" s="115" t="n">
        <v>70813.27</v>
      </c>
      <c r="D28" s="119"/>
      <c r="E28" s="119"/>
      <c r="F28" s="104" t="s">
        <v>176</v>
      </c>
      <c r="G28" s="115" t="n">
        <f>C28-G18+G22+G23+G24</f>
        <v>74263.27</v>
      </c>
    </row>
    <row r="30">
      <c r="A30" s="94" t="s">
        <v>147</v>
      </c>
      <c r="B30" s="105"/>
      <c r="C30" s="105"/>
      <c r="D30" s="105"/>
      <c r="E30" s="105"/>
      <c r="F30" s="105"/>
      <c r="G30" s="134"/>
    </row>
    <row r="31">
      <c r="A31" s="95" t="s">
        <v>148</v>
      </c>
      <c r="B31" s="106"/>
      <c r="C31" s="47" t="s">
        <v>157</v>
      </c>
      <c r="D31" s="120" t="s">
        <v>158</v>
      </c>
      <c r="E31" s="120"/>
      <c r="F31" s="120"/>
      <c r="G31" s="135"/>
    </row>
    <row r="32">
      <c r="A32" s="96" t="s">
        <v>149</v>
      </c>
      <c r="B32" s="98" t="n">
        <v>146.29</v>
      </c>
      <c r="C32" s="116" t="n">
        <v>0</v>
      </c>
      <c r="D32" s="121" t="s">
        <v>159</v>
      </c>
      <c r="E32" s="125" t="n">
        <v>0</v>
      </c>
      <c r="F32" s="121" t="s">
        <v>177</v>
      </c>
      <c r="G32" s="136" t="n">
        <v>0</v>
      </c>
    </row>
    <row r="33">
      <c r="A33" s="96" t="s">
        <v>150</v>
      </c>
      <c r="B33" s="107" t="n">
        <v>13.89</v>
      </c>
      <c r="C33" s="12"/>
      <c r="D33" s="121" t="s">
        <v>160</v>
      </c>
      <c r="E33" s="126" t="n">
        <v>18</v>
      </c>
      <c r="F33" s="121" t="s">
        <v>178</v>
      </c>
      <c r="G33" s="137" t="n">
        <v>0</v>
      </c>
    </row>
    <row r="34">
      <c r="A34" s="96" t="s">
        <v>151</v>
      </c>
      <c r="B34" s="108" t="n">
        <v>0</v>
      </c>
      <c r="C34" s="116" t="n">
        <v>9</v>
      </c>
      <c r="D34" s="121" t="s">
        <v>161</v>
      </c>
      <c r="E34" s="126" t="n">
        <v>27</v>
      </c>
      <c r="F34" s="121" t="s">
        <v>179</v>
      </c>
      <c r="G34" s="137" t="n">
        <v>81</v>
      </c>
    </row>
    <row r="35">
      <c r="A35" s="96" t="s">
        <v>152</v>
      </c>
      <c r="B35" s="107" t="n">
        <f>B32+B33-B34</f>
        <v>160.18</v>
      </c>
      <c r="C35" s="107" t="n">
        <f>C32-C34</f>
        <v>-9</v>
      </c>
      <c r="D35" s="121"/>
      <c r="E35" s="127"/>
      <c r="F35" s="121"/>
      <c r="G35" s="138"/>
    </row>
    <row r="36">
      <c r="A36" s="97"/>
      <c r="B36" s="109"/>
      <c r="C36" s="109"/>
      <c r="D36" s="109"/>
      <c r="E36" s="109"/>
      <c r="F36" s="109"/>
      <c r="G36" s="139"/>
    </row>
    <row r="39">
      <c r="A39" s="98"/>
      <c r="B39" s="98"/>
    </row>
    <row r="40">
      <c r="A40" s="35" t="s">
        <v>153</v>
      </c>
    </row>
    <row r="41">
      <c r="A41" s="35" t="s">
        <v>154</v>
      </c>
    </row>
  </sheetData>
  <mergeCells>
    <mergeCell ref="A31:B31"/>
    <mergeCell ref="D31:G31"/>
    <mergeCell ref="A23:B23"/>
    <mergeCell ref="E23:F23"/>
    <mergeCell ref="A24:B24"/>
    <mergeCell ref="E24:F24"/>
    <mergeCell ref="A25:B25"/>
    <mergeCell ref="A30:G30"/>
    <mergeCell ref="A20:B20"/>
    <mergeCell ref="A21:B21"/>
    <mergeCell ref="E21:F21"/>
    <mergeCell ref="A22:B22"/>
    <mergeCell ref="E22:F22"/>
    <mergeCell ref="E17:F17"/>
    <mergeCell ref="A17:B17"/>
    <mergeCell ref="A18:B18"/>
    <mergeCell ref="E18:F18"/>
    <mergeCell ref="A19:B19"/>
    <mergeCell ref="A14:B14"/>
    <mergeCell ref="E14:F14"/>
    <mergeCell ref="A15:B15"/>
    <mergeCell ref="E15:F15"/>
    <mergeCell ref="A16:B16"/>
    <mergeCell ref="E16:F16"/>
    <mergeCell ref="A9:B9"/>
    <mergeCell ref="E9:F9"/>
    <mergeCell ref="E10:F10"/>
    <mergeCell ref="E11:F11"/>
    <mergeCell ref="A13:B13"/>
    <mergeCell ref="E13:F13"/>
    <mergeCell ref="A8:B8"/>
    <mergeCell ref="E8:F8"/>
    <mergeCell ref="B1:G4"/>
    <mergeCell ref="A6:B6"/>
    <mergeCell ref="E6:F6"/>
    <mergeCell ref="A7:B7"/>
    <mergeCell ref="E7:F7"/>
  </mergeCells>
  <pageMargins bottom="0.75" footer="0.3" header="0.3" left="0.7" right="0.7" top="0.75"/>
  <pageSetup paperSize="1" orientation="portrait" scale="69"/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Pr>
    <pageSetUpPr fitToPage="true"/>
  </sheetPr>
  <dimension ref="A1:G41"/>
  <sheetViews>
    <sheetView zoomScale="95" topLeftCell="A1" workbookViewId="0" showGridLines="true" showRowColHeaders="true">
      <selection activeCell="H1" sqref="H1:H1"/>
    </sheetView>
  </sheetViews>
  <sheetFormatPr customHeight="false" defaultColWidth="20.57421875" defaultRowHeight="15"/>
  <cols>
    <col min="1" max="1" bestFit="false" customWidth="true" width="20.421875" hidden="false" outlineLevel="0"/>
    <col min="2" max="2" bestFit="false" customWidth="true" width="15.57421875" hidden="false" outlineLevel="0"/>
    <col min="3" max="3" bestFit="false" customWidth="true" width="20.57421875" hidden="false" outlineLevel="0"/>
    <col min="4" max="4" bestFit="false" customWidth="true" width="10.57421875" hidden="false" outlineLevel="0"/>
    <col min="5" max="6" bestFit="false" customWidth="true" width="15.57421875" hidden="false" outlineLevel="0"/>
    <col min="7" max="7" bestFit="false" customWidth="true" width="31.7109375" hidden="false" outlineLevel="0"/>
  </cols>
  <sheetData>
    <row r="1" ht="21" customHeight="true">
      <c r="B1" s="99" t="s">
        <v>155</v>
      </c>
      <c r="C1" s="99"/>
      <c r="D1" s="99"/>
      <c r="E1" s="99"/>
      <c r="F1" s="99"/>
      <c r="G1" s="99"/>
    </row>
    <row r="2" ht="14.25" customHeight="true">
      <c r="B2" s="100"/>
      <c r="C2" s="100"/>
      <c r="D2" s="100"/>
      <c r="E2" s="100"/>
      <c r="F2" s="100"/>
      <c r="G2" s="100"/>
    </row>
    <row r="3" ht="14.25" customHeight="true">
      <c r="B3" s="100"/>
      <c r="C3" s="100"/>
      <c r="D3" s="100"/>
      <c r="E3" s="100"/>
      <c r="F3" s="100"/>
      <c r="G3" s="100"/>
    </row>
    <row r="4" ht="14.25" customHeight="true">
      <c r="B4" s="100"/>
      <c r="C4" s="100"/>
      <c r="D4" s="100"/>
      <c r="E4" s="100"/>
      <c r="F4" s="100"/>
      <c r="G4" s="100"/>
    </row>
    <row r="6">
      <c r="A6" s="90" t="s">
        <v>130</v>
      </c>
      <c r="B6" s="101"/>
      <c r="C6" s="110" t="s">
        <v>13</v>
      </c>
      <c r="D6" s="117"/>
      <c r="E6" s="90" t="s">
        <v>162</v>
      </c>
      <c r="F6" s="101"/>
      <c r="G6" s="110" t="s">
        <v>201</v>
      </c>
    </row>
    <row r="7">
      <c r="A7" s="91" t="s">
        <v>131</v>
      </c>
      <c r="B7" s="102"/>
      <c r="C7" s="111"/>
      <c r="D7" s="117"/>
      <c r="E7" s="91" t="s">
        <v>163</v>
      </c>
      <c r="F7" s="102"/>
      <c r="G7" s="111"/>
    </row>
    <row r="8">
      <c r="A8" s="91" t="s">
        <v>132</v>
      </c>
      <c r="B8" s="102"/>
      <c r="C8" s="112" t="n">
        <v>50100490819169</v>
      </c>
      <c r="D8" s="118"/>
      <c r="E8" s="91" t="s">
        <v>164</v>
      </c>
      <c r="F8" s="102"/>
      <c r="G8" s="130" t="s">
        <v>202</v>
      </c>
    </row>
    <row r="9">
      <c r="A9" s="92" t="s">
        <v>133</v>
      </c>
      <c r="B9" s="103"/>
      <c r="C9" s="113" t="n">
        <v>46113</v>
      </c>
      <c r="D9" s="117"/>
      <c r="E9" s="91" t="s">
        <v>165</v>
      </c>
      <c r="F9" s="102"/>
      <c r="G9" s="131" t="n">
        <v>23</v>
      </c>
    </row>
    <row r="10">
      <c r="E10" s="122" t="s">
        <v>166</v>
      </c>
      <c r="F10" s="128"/>
      <c r="G10" s="132" t="n">
        <v>50000</v>
      </c>
    </row>
    <row r="11">
      <c r="E11" s="123" t="s">
        <v>167</v>
      </c>
      <c r="F11" s="129"/>
      <c r="G11" s="133" t="n">
        <v>272.81</v>
      </c>
    </row>
    <row r="13">
      <c r="A13" s="93" t="s">
        <v>134</v>
      </c>
      <c r="B13" s="93"/>
      <c r="C13" s="114" t="n">
        <v>34975.61</v>
      </c>
      <c r="E13" s="12" t="s">
        <v>168</v>
      </c>
      <c r="F13" s="12"/>
      <c r="G13" s="98" t="n">
        <v>1800</v>
      </c>
    </row>
    <row r="14">
      <c r="A14" s="93" t="s">
        <v>135</v>
      </c>
      <c r="B14" s="93"/>
      <c r="C14" s="114" t="n">
        <v>13990.24</v>
      </c>
      <c r="D14" s="93"/>
      <c r="E14" s="12" t="s">
        <v>169</v>
      </c>
      <c r="F14" s="12"/>
      <c r="G14" s="108" t="n">
        <v>0</v>
      </c>
    </row>
    <row r="15">
      <c r="A15" s="93" t="s">
        <v>136</v>
      </c>
      <c r="B15" s="93"/>
      <c r="C15" s="114" t="n">
        <v>0</v>
      </c>
      <c r="D15" s="93"/>
      <c r="E15" s="12" t="s">
        <v>170</v>
      </c>
      <c r="F15" s="12"/>
      <c r="G15" s="108" t="n">
        <v>0</v>
      </c>
    </row>
    <row r="16">
      <c r="A16" s="93" t="s">
        <v>137</v>
      </c>
      <c r="B16" s="93"/>
      <c r="C16" s="114" t="n">
        <v>1250</v>
      </c>
      <c r="D16" s="93"/>
      <c r="E16" s="12" t="s">
        <v>171</v>
      </c>
      <c r="F16" s="12"/>
      <c r="G16" s="108" t="n">
        <v>0</v>
      </c>
    </row>
    <row r="17">
      <c r="A17" s="93" t="s">
        <v>138</v>
      </c>
      <c r="B17" s="93"/>
      <c r="C17" s="114" t="n">
        <v>1600</v>
      </c>
      <c r="D17" s="93"/>
      <c r="E17" s="12" t="s">
        <v>172</v>
      </c>
      <c r="F17" s="12"/>
      <c r="G17" s="108" t="n">
        <v>0</v>
      </c>
    </row>
    <row r="18">
      <c r="A18" s="93" t="s">
        <v>139</v>
      </c>
      <c r="B18" s="93"/>
      <c r="C18" s="98" t="n">
        <v>0</v>
      </c>
      <c r="D18" s="93"/>
      <c r="E18" s="12" t="s">
        <v>173</v>
      </c>
      <c r="F18" s="12"/>
      <c r="G18" s="58" t="n">
        <f>SUM(G13:G17)</f>
        <v>1800</v>
      </c>
    </row>
    <row r="19">
      <c r="A19" s="93" t="s">
        <v>140</v>
      </c>
      <c r="B19" s="93"/>
      <c r="C19" s="98" t="n">
        <v>0</v>
      </c>
      <c r="D19" s="93"/>
    </row>
    <row r="20">
      <c r="A20" s="93" t="s">
        <v>141</v>
      </c>
      <c r="B20" s="93"/>
      <c r="C20" s="98" t="n">
        <v>0</v>
      </c>
      <c r="D20" s="93"/>
    </row>
    <row r="21">
      <c r="A21" s="93" t="s">
        <v>142</v>
      </c>
      <c r="B21" s="93"/>
      <c r="C21" s="98" t="n">
        <v>1600</v>
      </c>
      <c r="D21" s="93"/>
      <c r="E21" s="12"/>
      <c r="F21" s="12"/>
    </row>
    <row r="22">
      <c r="A22" s="93" t="s">
        <v>143</v>
      </c>
      <c r="B22" s="93"/>
      <c r="C22" s="98" t="n">
        <v>0</v>
      </c>
      <c r="D22" s="93"/>
      <c r="E22" s="124" t="s">
        <v>38</v>
      </c>
      <c r="F22" s="93"/>
      <c r="G22" s="114" t="n">
        <v>3300</v>
      </c>
    </row>
    <row r="23">
      <c r="A23" s="93" t="s">
        <v>144</v>
      </c>
      <c r="B23" s="93"/>
      <c r="C23" s="98" t="n">
        <v>0</v>
      </c>
      <c r="D23" s="93"/>
      <c r="E23" s="93" t="s">
        <v>174</v>
      </c>
      <c r="F23" s="93"/>
      <c r="G23" s="114" t="n">
        <v>0</v>
      </c>
    </row>
    <row r="24">
      <c r="A24" s="93" t="s">
        <v>145</v>
      </c>
      <c r="B24" s="93"/>
      <c r="C24" s="98" t="n">
        <v>0</v>
      </c>
      <c r="D24" s="93"/>
      <c r="E24" s="12" t="s">
        <v>175</v>
      </c>
      <c r="F24" s="12"/>
      <c r="G24" s="108" t="n">
        <v>0</v>
      </c>
    </row>
    <row r="25">
      <c r="A25" s="93" t="s">
        <v>146</v>
      </c>
      <c r="B25" s="93"/>
      <c r="C25" s="114" t="n">
        <v>16535.36</v>
      </c>
      <c r="D25" s="93"/>
    </row>
    <row r="28">
      <c r="B28" s="104" t="s">
        <v>156</v>
      </c>
      <c r="C28" s="115" t="n">
        <v>69951.21</v>
      </c>
      <c r="D28" s="119"/>
      <c r="E28" s="119"/>
      <c r="F28" s="104" t="s">
        <v>176</v>
      </c>
      <c r="G28" s="115" t="n">
        <f>C28-G18+G22+G23+G24</f>
        <v>71451.21</v>
      </c>
    </row>
    <row r="30">
      <c r="A30" s="94" t="s">
        <v>147</v>
      </c>
      <c r="B30" s="105"/>
      <c r="C30" s="105"/>
      <c r="D30" s="105"/>
      <c r="E30" s="105"/>
      <c r="F30" s="105"/>
      <c r="G30" s="134"/>
    </row>
    <row r="31">
      <c r="A31" s="95" t="s">
        <v>148</v>
      </c>
      <c r="B31" s="106"/>
      <c r="C31" s="47" t="s">
        <v>157</v>
      </c>
      <c r="D31" s="120" t="s">
        <v>158</v>
      </c>
      <c r="E31" s="120"/>
      <c r="F31" s="120"/>
      <c r="G31" s="135"/>
    </row>
    <row r="32">
      <c r="A32" s="96" t="s">
        <v>149</v>
      </c>
      <c r="B32" s="98" t="n">
        <v>278.19</v>
      </c>
      <c r="C32" s="116" t="n">
        <v>0</v>
      </c>
      <c r="D32" s="121" t="s">
        <v>159</v>
      </c>
      <c r="E32" s="125" t="n">
        <v>0</v>
      </c>
      <c r="F32" s="121" t="s">
        <v>177</v>
      </c>
      <c r="G32" s="136" t="n">
        <v>0</v>
      </c>
    </row>
    <row r="33">
      <c r="A33" s="96" t="s">
        <v>150</v>
      </c>
      <c r="B33" s="107" t="n">
        <v>15.35</v>
      </c>
      <c r="C33" s="12"/>
      <c r="D33" s="121" t="s">
        <v>160</v>
      </c>
      <c r="E33" s="126" t="n">
        <v>18</v>
      </c>
      <c r="F33" s="121" t="s">
        <v>178</v>
      </c>
      <c r="G33" s="137" t="n">
        <v>0</v>
      </c>
    </row>
    <row r="34">
      <c r="A34" s="96" t="s">
        <v>151</v>
      </c>
      <c r="B34" s="108" t="n">
        <v>0</v>
      </c>
      <c r="C34" s="116" t="n">
        <v>0</v>
      </c>
      <c r="D34" s="121" t="s">
        <v>161</v>
      </c>
      <c r="E34" s="126" t="n">
        <v>90</v>
      </c>
      <c r="F34" s="121" t="s">
        <v>179</v>
      </c>
      <c r="G34" s="137" t="n">
        <v>126</v>
      </c>
    </row>
    <row r="35">
      <c r="A35" s="96" t="s">
        <v>152</v>
      </c>
      <c r="B35" s="107" t="n">
        <f>B32+B33-B34</f>
        <v>293.54</v>
      </c>
      <c r="C35" s="107" t="n">
        <f>C32-C34</f>
        <v>0</v>
      </c>
      <c r="D35" s="121"/>
      <c r="E35" s="127"/>
      <c r="F35" s="121"/>
      <c r="G35" s="138"/>
    </row>
    <row r="36">
      <c r="A36" s="97"/>
      <c r="B36" s="109"/>
      <c r="C36" s="109"/>
      <c r="D36" s="109"/>
      <c r="E36" s="109"/>
      <c r="F36" s="109"/>
      <c r="G36" s="139"/>
    </row>
    <row r="39">
      <c r="A39" s="98"/>
      <c r="B39" s="98"/>
    </row>
    <row r="40">
      <c r="A40" s="35" t="s">
        <v>153</v>
      </c>
    </row>
    <row r="41">
      <c r="A41" s="35" t="s">
        <v>154</v>
      </c>
    </row>
  </sheetData>
  <mergeCells>
    <mergeCell ref="A31:B31"/>
    <mergeCell ref="D31:G31"/>
    <mergeCell ref="A23:B23"/>
    <mergeCell ref="E23:F23"/>
    <mergeCell ref="A24:B24"/>
    <mergeCell ref="E24:F24"/>
    <mergeCell ref="A25:B25"/>
    <mergeCell ref="A30:G30"/>
    <mergeCell ref="A20:B20"/>
    <mergeCell ref="A21:B21"/>
    <mergeCell ref="E21:F21"/>
    <mergeCell ref="A22:B22"/>
    <mergeCell ref="E22:F22"/>
    <mergeCell ref="E17:F17"/>
    <mergeCell ref="A17:B17"/>
    <mergeCell ref="A18:B18"/>
    <mergeCell ref="E18:F18"/>
    <mergeCell ref="A19:B19"/>
    <mergeCell ref="A14:B14"/>
    <mergeCell ref="E14:F14"/>
    <mergeCell ref="A15:B15"/>
    <mergeCell ref="E15:F15"/>
    <mergeCell ref="A16:B16"/>
    <mergeCell ref="E16:F16"/>
    <mergeCell ref="A9:B9"/>
    <mergeCell ref="E9:F9"/>
    <mergeCell ref="E10:F10"/>
    <mergeCell ref="E11:F11"/>
    <mergeCell ref="A13:B13"/>
    <mergeCell ref="E13:F13"/>
    <mergeCell ref="A8:B8"/>
    <mergeCell ref="E8:F8"/>
    <mergeCell ref="B1:G4"/>
    <mergeCell ref="A6:B6"/>
    <mergeCell ref="E6:F6"/>
    <mergeCell ref="A7:B7"/>
    <mergeCell ref="E7:F7"/>
  </mergeCells>
  <pageMargins bottom="0.75" footer="0.3" header="0.3" left="0.7" right="0.7" top="0.75"/>
  <pageSetup paperSize="1" orientation="portrait" scale="69"/>
  <drawing r:id="rId1"/>
</worksheet>
</file>

<file path=xl/worksheets/sheet15.xml><?xml version="1.0" encoding="utf-8"?>
<worksheet xmlns:r="http://schemas.openxmlformats.org/officeDocument/2006/relationships" xmlns="http://schemas.openxmlformats.org/spreadsheetml/2006/main">
  <sheetPr>
    <pageSetUpPr fitToPage="true"/>
  </sheetPr>
  <dimension ref="A1:G41"/>
  <sheetViews>
    <sheetView zoomScale="95" topLeftCell="A1" workbookViewId="0" showGridLines="true" showRowColHeaders="true">
      <selection activeCell="H1" sqref="H1:H1"/>
    </sheetView>
  </sheetViews>
  <sheetFormatPr customHeight="false" defaultColWidth="20.57421875" defaultRowHeight="15"/>
  <cols>
    <col min="1" max="1" bestFit="false" customWidth="true" width="20.421875" hidden="false" outlineLevel="0"/>
    <col min="2" max="2" bestFit="false" customWidth="true" width="15.57421875" hidden="false" outlineLevel="0"/>
    <col min="3" max="3" bestFit="false" customWidth="true" width="20.57421875" hidden="false" outlineLevel="0"/>
    <col min="4" max="4" bestFit="false" customWidth="true" width="10.57421875" hidden="false" outlineLevel="0"/>
    <col min="5" max="6" bestFit="false" customWidth="true" width="15.57421875" hidden="false" outlineLevel="0"/>
    <col min="7" max="7" bestFit="false" customWidth="true" width="31.7109375" hidden="false" outlineLevel="0"/>
  </cols>
  <sheetData>
    <row r="1" ht="21" customHeight="true">
      <c r="B1" s="99" t="s">
        <v>155</v>
      </c>
      <c r="C1" s="99"/>
      <c r="D1" s="99"/>
      <c r="E1" s="99"/>
      <c r="F1" s="99"/>
      <c r="G1" s="99"/>
    </row>
    <row r="2" ht="14.25" customHeight="true">
      <c r="B2" s="100"/>
      <c r="C2" s="100"/>
      <c r="D2" s="100"/>
      <c r="E2" s="100"/>
      <c r="F2" s="100"/>
      <c r="G2" s="100"/>
    </row>
    <row r="3" ht="14.25" customHeight="true">
      <c r="B3" s="100"/>
      <c r="C3" s="100"/>
      <c r="D3" s="100"/>
      <c r="E3" s="100"/>
      <c r="F3" s="100"/>
      <c r="G3" s="100"/>
    </row>
    <row r="4" ht="14.25" customHeight="true">
      <c r="B4" s="100"/>
      <c r="C4" s="100"/>
      <c r="D4" s="100"/>
      <c r="E4" s="100"/>
      <c r="F4" s="100"/>
      <c r="G4" s="100"/>
    </row>
    <row r="6">
      <c r="A6" s="90" t="s">
        <v>130</v>
      </c>
      <c r="B6" s="101"/>
      <c r="C6" s="110" t="s">
        <v>17</v>
      </c>
      <c r="D6" s="117"/>
      <c r="E6" s="90" t="s">
        <v>162</v>
      </c>
      <c r="F6" s="101"/>
      <c r="G6" s="110" t="s">
        <v>201</v>
      </c>
    </row>
    <row r="7">
      <c r="A7" s="91" t="s">
        <v>131</v>
      </c>
      <c r="B7" s="102"/>
      <c r="C7" s="111"/>
      <c r="D7" s="117"/>
      <c r="E7" s="91" t="s">
        <v>163</v>
      </c>
      <c r="F7" s="102"/>
      <c r="G7" s="111"/>
    </row>
    <row r="8">
      <c r="A8" s="91" t="s">
        <v>132</v>
      </c>
      <c r="B8" s="102"/>
      <c r="C8" s="112" t="n">
        <v>50100565932501</v>
      </c>
      <c r="D8" s="118"/>
      <c r="E8" s="91" t="s">
        <v>164</v>
      </c>
      <c r="F8" s="102"/>
      <c r="G8" s="130" t="s">
        <v>203</v>
      </c>
    </row>
    <row r="9">
      <c r="A9" s="92" t="s">
        <v>133</v>
      </c>
      <c r="B9" s="103"/>
      <c r="C9" s="113" t="n">
        <v>46113</v>
      </c>
      <c r="D9" s="117"/>
      <c r="E9" s="91" t="s">
        <v>165</v>
      </c>
      <c r="F9" s="102"/>
      <c r="G9" s="131" t="n">
        <v>23</v>
      </c>
    </row>
    <row r="10">
      <c r="E10" s="122" t="s">
        <v>166</v>
      </c>
      <c r="F10" s="128"/>
      <c r="G10" s="132" t="n">
        <v>60500</v>
      </c>
    </row>
    <row r="11">
      <c r="E11" s="123" t="s">
        <v>167</v>
      </c>
      <c r="F11" s="129"/>
      <c r="G11" s="133" t="n">
        <v>227.08</v>
      </c>
    </row>
    <row r="13">
      <c r="A13" s="93" t="s">
        <v>134</v>
      </c>
      <c r="B13" s="93"/>
      <c r="C13" s="114" t="n">
        <v>35226.92</v>
      </c>
      <c r="E13" s="12" t="s">
        <v>168</v>
      </c>
      <c r="F13" s="12"/>
      <c r="G13" s="98" t="n">
        <v>1800</v>
      </c>
    </row>
    <row r="14">
      <c r="A14" s="93" t="s">
        <v>135</v>
      </c>
      <c r="B14" s="93"/>
      <c r="C14" s="114" t="n">
        <v>14090.77</v>
      </c>
      <c r="D14" s="93"/>
      <c r="E14" s="12" t="s">
        <v>169</v>
      </c>
      <c r="F14" s="12"/>
      <c r="G14" s="108" t="n">
        <v>0</v>
      </c>
    </row>
    <row r="15">
      <c r="A15" s="93" t="s">
        <v>136</v>
      </c>
      <c r="B15" s="93"/>
      <c r="C15" s="114" t="n">
        <v>0</v>
      </c>
      <c r="D15" s="93"/>
      <c r="E15" s="12" t="s">
        <v>170</v>
      </c>
      <c r="F15" s="12"/>
      <c r="G15" s="108" t="n">
        <v>0</v>
      </c>
    </row>
    <row r="16">
      <c r="A16" s="93" t="s">
        <v>137</v>
      </c>
      <c r="B16" s="93"/>
      <c r="C16" s="114" t="n">
        <v>1250</v>
      </c>
      <c r="D16" s="93"/>
      <c r="E16" s="12" t="s">
        <v>171</v>
      </c>
      <c r="F16" s="12"/>
      <c r="G16" s="108" t="n">
        <v>0</v>
      </c>
    </row>
    <row r="17">
      <c r="A17" s="93" t="s">
        <v>138</v>
      </c>
      <c r="B17" s="93"/>
      <c r="C17" s="114" t="n">
        <v>1600</v>
      </c>
      <c r="D17" s="93"/>
      <c r="E17" s="12" t="s">
        <v>172</v>
      </c>
      <c r="F17" s="12"/>
      <c r="G17" s="108" t="n">
        <v>0</v>
      </c>
    </row>
    <row r="18">
      <c r="A18" s="93" t="s">
        <v>139</v>
      </c>
      <c r="B18" s="93"/>
      <c r="C18" s="98" t="n">
        <v>0</v>
      </c>
      <c r="D18" s="93"/>
      <c r="E18" s="12" t="s">
        <v>173</v>
      </c>
      <c r="F18" s="12"/>
      <c r="G18" s="58" t="n">
        <f>SUM(G13:G17)</f>
        <v>1800</v>
      </c>
    </row>
    <row r="19">
      <c r="A19" s="93" t="s">
        <v>140</v>
      </c>
      <c r="B19" s="93"/>
      <c r="C19" s="98" t="n">
        <v>0</v>
      </c>
      <c r="D19" s="93"/>
    </row>
    <row r="20">
      <c r="A20" s="93" t="s">
        <v>141</v>
      </c>
      <c r="B20" s="93"/>
      <c r="C20" s="98" t="n">
        <v>0</v>
      </c>
      <c r="D20" s="93"/>
    </row>
    <row r="21">
      <c r="A21" s="93" t="s">
        <v>142</v>
      </c>
      <c r="B21" s="93"/>
      <c r="C21" s="98" t="n">
        <v>1600</v>
      </c>
      <c r="D21" s="93"/>
      <c r="E21" s="12"/>
      <c r="F21" s="12"/>
    </row>
    <row r="22">
      <c r="A22" s="93" t="s">
        <v>143</v>
      </c>
      <c r="B22" s="93"/>
      <c r="C22" s="98" t="n">
        <v>0</v>
      </c>
      <c r="D22" s="93"/>
      <c r="E22" s="124" t="s">
        <v>38</v>
      </c>
      <c r="F22" s="93"/>
      <c r="G22" s="114" t="n">
        <v>1200</v>
      </c>
    </row>
    <row r="23">
      <c r="A23" s="93" t="s">
        <v>144</v>
      </c>
      <c r="B23" s="93"/>
      <c r="C23" s="98" t="n">
        <v>0</v>
      </c>
      <c r="D23" s="93"/>
      <c r="E23" s="93" t="s">
        <v>174</v>
      </c>
      <c r="F23" s="93"/>
      <c r="G23" s="114" t="n">
        <v>0</v>
      </c>
    </row>
    <row r="24">
      <c r="A24" s="93" t="s">
        <v>145</v>
      </c>
      <c r="B24" s="93"/>
      <c r="C24" s="98" t="n">
        <v>0</v>
      </c>
      <c r="D24" s="93"/>
      <c r="E24" s="12" t="s">
        <v>175</v>
      </c>
      <c r="F24" s="12"/>
      <c r="G24" s="108" t="n">
        <v>0</v>
      </c>
    </row>
    <row r="25">
      <c r="A25" s="93" t="s">
        <v>146</v>
      </c>
      <c r="B25" s="93"/>
      <c r="C25" s="114" t="n">
        <v>16686.15</v>
      </c>
      <c r="D25" s="93"/>
    </row>
    <row r="28">
      <c r="B28" s="104" t="s">
        <v>156</v>
      </c>
      <c r="C28" s="115" t="n">
        <v>70453.84</v>
      </c>
      <c r="D28" s="119"/>
      <c r="E28" s="119"/>
      <c r="F28" s="104" t="s">
        <v>176</v>
      </c>
      <c r="G28" s="115" t="n">
        <f>C28-G18+G22+G23+G24</f>
        <v>69853.84</v>
      </c>
    </row>
    <row r="30">
      <c r="A30" s="94" t="s">
        <v>147</v>
      </c>
      <c r="B30" s="105"/>
      <c r="C30" s="105"/>
      <c r="D30" s="105"/>
      <c r="E30" s="105"/>
      <c r="F30" s="105"/>
      <c r="G30" s="134"/>
    </row>
    <row r="31">
      <c r="A31" s="95" t="s">
        <v>148</v>
      </c>
      <c r="B31" s="106"/>
      <c r="C31" s="47" t="s">
        <v>157</v>
      </c>
      <c r="D31" s="120" t="s">
        <v>158</v>
      </c>
      <c r="E31" s="120"/>
      <c r="F31" s="120"/>
      <c r="G31" s="135"/>
    </row>
    <row r="32">
      <c r="A32" s="96" t="s">
        <v>149</v>
      </c>
      <c r="B32" s="98" t="n">
        <v>68.31</v>
      </c>
      <c r="C32" s="116" t="n">
        <v>0</v>
      </c>
      <c r="D32" s="121" t="s">
        <v>159</v>
      </c>
      <c r="E32" s="125" t="n">
        <v>0</v>
      </c>
      <c r="F32" s="121" t="s">
        <v>177</v>
      </c>
      <c r="G32" s="136" t="n">
        <v>0</v>
      </c>
    </row>
    <row r="33">
      <c r="A33" s="96" t="s">
        <v>150</v>
      </c>
      <c r="B33" s="107" t="n">
        <v>12.77</v>
      </c>
      <c r="C33" s="12"/>
      <c r="D33" s="121" t="s">
        <v>160</v>
      </c>
      <c r="E33" s="126" t="n">
        <v>18</v>
      </c>
      <c r="F33" s="121" t="s">
        <v>178</v>
      </c>
      <c r="G33" s="137" t="n">
        <v>0</v>
      </c>
    </row>
    <row r="34">
      <c r="A34" s="96" t="s">
        <v>151</v>
      </c>
      <c r="B34" s="108" t="n">
        <v>0</v>
      </c>
      <c r="C34" s="116" t="n">
        <v>0</v>
      </c>
      <c r="D34" s="121" t="s">
        <v>161</v>
      </c>
      <c r="E34" s="126" t="n">
        <v>54</v>
      </c>
      <c r="F34" s="121" t="s">
        <v>179</v>
      </c>
      <c r="G34" s="137" t="n">
        <v>99</v>
      </c>
    </row>
    <row r="35">
      <c r="A35" s="96" t="s">
        <v>152</v>
      </c>
      <c r="B35" s="107" t="n">
        <f>B32+B33-B34</f>
        <v>81.08</v>
      </c>
      <c r="C35" s="107" t="n">
        <f>C32-C34</f>
        <v>0</v>
      </c>
      <c r="D35" s="121"/>
      <c r="E35" s="127"/>
      <c r="F35" s="121"/>
      <c r="G35" s="138"/>
    </row>
    <row r="36">
      <c r="A36" s="97"/>
      <c r="B36" s="109"/>
      <c r="C36" s="109"/>
      <c r="D36" s="109"/>
      <c r="E36" s="109"/>
      <c r="F36" s="109"/>
      <c r="G36" s="139"/>
    </row>
    <row r="39">
      <c r="A39" s="98"/>
      <c r="B39" s="98"/>
    </row>
    <row r="40">
      <c r="A40" s="35" t="s">
        <v>153</v>
      </c>
    </row>
    <row r="41">
      <c r="A41" s="35" t="s">
        <v>154</v>
      </c>
    </row>
  </sheetData>
  <mergeCells>
    <mergeCell ref="A31:B31"/>
    <mergeCell ref="D31:G31"/>
    <mergeCell ref="A23:B23"/>
    <mergeCell ref="E23:F23"/>
    <mergeCell ref="A24:B24"/>
    <mergeCell ref="E24:F24"/>
    <mergeCell ref="A25:B25"/>
    <mergeCell ref="A30:G30"/>
    <mergeCell ref="A20:B20"/>
    <mergeCell ref="A21:B21"/>
    <mergeCell ref="E21:F21"/>
    <mergeCell ref="A22:B22"/>
    <mergeCell ref="E22:F22"/>
    <mergeCell ref="E17:F17"/>
    <mergeCell ref="A17:B17"/>
    <mergeCell ref="A18:B18"/>
    <mergeCell ref="E18:F18"/>
    <mergeCell ref="A19:B19"/>
    <mergeCell ref="A14:B14"/>
    <mergeCell ref="E14:F14"/>
    <mergeCell ref="A15:B15"/>
    <mergeCell ref="E15:F15"/>
    <mergeCell ref="A16:B16"/>
    <mergeCell ref="E16:F16"/>
    <mergeCell ref="A9:B9"/>
    <mergeCell ref="E9:F9"/>
    <mergeCell ref="E10:F10"/>
    <mergeCell ref="E11:F11"/>
    <mergeCell ref="A13:B13"/>
    <mergeCell ref="E13:F13"/>
    <mergeCell ref="A8:B8"/>
    <mergeCell ref="E8:F8"/>
    <mergeCell ref="B1:G4"/>
    <mergeCell ref="A6:B6"/>
    <mergeCell ref="E6:F6"/>
    <mergeCell ref="A7:B7"/>
    <mergeCell ref="E7:F7"/>
  </mergeCells>
  <pageMargins bottom="0.75" footer="0.3" header="0.3" left="0.7" right="0.7" top="0.75"/>
  <pageSetup paperSize="1" orientation="portrait" scale="69"/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Pr>
    <pageSetUpPr fitToPage="true"/>
  </sheetPr>
  <dimension ref="A1:G41"/>
  <sheetViews>
    <sheetView zoomScale="95" topLeftCell="A1" workbookViewId="0" showGridLines="true" showRowColHeaders="true">
      <selection activeCell="H1" sqref="H1:H1"/>
    </sheetView>
  </sheetViews>
  <sheetFormatPr customHeight="false" defaultColWidth="20.57421875" defaultRowHeight="15"/>
  <cols>
    <col min="1" max="1" bestFit="false" customWidth="true" width="20.421875" hidden="false" outlineLevel="0"/>
    <col min="2" max="2" bestFit="false" customWidth="true" width="15.57421875" hidden="false" outlineLevel="0"/>
    <col min="3" max="3" bestFit="false" customWidth="true" width="20.57421875" hidden="false" outlineLevel="0"/>
    <col min="4" max="4" bestFit="false" customWidth="true" width="10.57421875" hidden="false" outlineLevel="0"/>
    <col min="5" max="6" bestFit="false" customWidth="true" width="15.57421875" hidden="false" outlineLevel="0"/>
    <col min="7" max="7" bestFit="false" customWidth="true" width="31.7109375" hidden="false" outlineLevel="0"/>
  </cols>
  <sheetData>
    <row r="1" ht="21" customHeight="true">
      <c r="B1" s="99" t="s">
        <v>155</v>
      </c>
      <c r="C1" s="99"/>
      <c r="D1" s="99"/>
      <c r="E1" s="99"/>
      <c r="F1" s="99"/>
      <c r="G1" s="99"/>
    </row>
    <row r="2" ht="14.25" customHeight="true">
      <c r="B2" s="100"/>
      <c r="C2" s="100"/>
      <c r="D2" s="100"/>
      <c r="E2" s="100"/>
      <c r="F2" s="100"/>
      <c r="G2" s="100"/>
    </row>
    <row r="3" ht="14.25" customHeight="true">
      <c r="B3" s="100"/>
      <c r="C3" s="100"/>
      <c r="D3" s="100"/>
      <c r="E3" s="100"/>
      <c r="F3" s="100"/>
      <c r="G3" s="100"/>
    </row>
    <row r="4" ht="14.25" customHeight="true">
      <c r="B4" s="100"/>
      <c r="C4" s="100"/>
      <c r="D4" s="100"/>
      <c r="E4" s="100"/>
      <c r="F4" s="100"/>
      <c r="G4" s="100"/>
    </row>
    <row r="6">
      <c r="A6" s="90" t="s">
        <v>130</v>
      </c>
      <c r="B6" s="101"/>
      <c r="C6" s="110" t="s">
        <v>9</v>
      </c>
      <c r="D6" s="117"/>
      <c r="E6" s="90" t="s">
        <v>162</v>
      </c>
      <c r="F6" s="101"/>
      <c r="G6" s="110" t="s">
        <v>204</v>
      </c>
    </row>
    <row r="7">
      <c r="A7" s="91" t="s">
        <v>131</v>
      </c>
      <c r="B7" s="102"/>
      <c r="C7" s="111"/>
      <c r="D7" s="117"/>
      <c r="E7" s="91" t="s">
        <v>163</v>
      </c>
      <c r="F7" s="102"/>
      <c r="G7" s="111"/>
    </row>
    <row r="8">
      <c r="A8" s="91" t="s">
        <v>132</v>
      </c>
      <c r="B8" s="102"/>
      <c r="C8" s="112" t="n">
        <v>32849692385</v>
      </c>
      <c r="D8" s="118"/>
      <c r="E8" s="91" t="s">
        <v>164</v>
      </c>
      <c r="F8" s="102"/>
      <c r="G8" s="130" t="s">
        <v>205</v>
      </c>
    </row>
    <row r="9">
      <c r="A9" s="92" t="s">
        <v>133</v>
      </c>
      <c r="B9" s="103"/>
      <c r="C9" s="113" t="n">
        <v>46113</v>
      </c>
      <c r="D9" s="117"/>
      <c r="E9" s="91" t="s">
        <v>165</v>
      </c>
      <c r="F9" s="102"/>
      <c r="G9" s="131" t="n">
        <v>23</v>
      </c>
    </row>
    <row r="10">
      <c r="E10" s="122" t="s">
        <v>166</v>
      </c>
      <c r="F10" s="128"/>
      <c r="G10" s="132" t="n">
        <v>165000</v>
      </c>
    </row>
    <row r="11">
      <c r="E11" s="123" t="s">
        <v>167</v>
      </c>
      <c r="F11" s="129"/>
      <c r="G11" s="133" t="n">
        <v>48.99</v>
      </c>
    </row>
    <row r="13">
      <c r="A13" s="93" t="s">
        <v>134</v>
      </c>
      <c r="B13" s="93"/>
      <c r="C13" s="114" t="n">
        <v>28341.8</v>
      </c>
      <c r="E13" s="12" t="s">
        <v>168</v>
      </c>
      <c r="F13" s="12"/>
      <c r="G13" s="98" t="n">
        <v>1800</v>
      </c>
    </row>
    <row r="14">
      <c r="A14" s="93" t="s">
        <v>135</v>
      </c>
      <c r="B14" s="93"/>
      <c r="C14" s="114" t="n">
        <v>11336.72</v>
      </c>
      <c r="D14" s="93"/>
      <c r="E14" s="12" t="s">
        <v>169</v>
      </c>
      <c r="F14" s="12"/>
      <c r="G14" s="108" t="n">
        <v>0</v>
      </c>
    </row>
    <row r="15">
      <c r="A15" s="93" t="s">
        <v>136</v>
      </c>
      <c r="B15" s="93"/>
      <c r="C15" s="114" t="n">
        <v>0</v>
      </c>
      <c r="D15" s="93"/>
      <c r="E15" s="12" t="s">
        <v>170</v>
      </c>
      <c r="F15" s="12"/>
      <c r="G15" s="108" t="n">
        <v>10000</v>
      </c>
    </row>
    <row r="16">
      <c r="A16" s="93" t="s">
        <v>137</v>
      </c>
      <c r="B16" s="93"/>
      <c r="C16" s="114" t="n">
        <v>1250</v>
      </c>
      <c r="D16" s="93"/>
      <c r="E16" s="12" t="s">
        <v>171</v>
      </c>
      <c r="F16" s="12"/>
      <c r="G16" s="108" t="n">
        <v>0</v>
      </c>
    </row>
    <row r="17">
      <c r="A17" s="93" t="s">
        <v>138</v>
      </c>
      <c r="B17" s="93"/>
      <c r="C17" s="114" t="n">
        <v>1600</v>
      </c>
      <c r="D17" s="93"/>
      <c r="E17" s="12" t="s">
        <v>172</v>
      </c>
      <c r="F17" s="12"/>
      <c r="G17" s="108" t="n">
        <v>0</v>
      </c>
    </row>
    <row r="18">
      <c r="A18" s="93" t="s">
        <v>139</v>
      </c>
      <c r="B18" s="93"/>
      <c r="C18" s="98" t="n">
        <v>0</v>
      </c>
      <c r="D18" s="93"/>
      <c r="E18" s="12" t="s">
        <v>173</v>
      </c>
      <c r="F18" s="12"/>
      <c r="G18" s="58" t="n">
        <f>SUM(G13:G17)</f>
        <v>11800</v>
      </c>
    </row>
    <row r="19">
      <c r="A19" s="93" t="s">
        <v>140</v>
      </c>
      <c r="B19" s="93"/>
      <c r="C19" s="98" t="n">
        <v>0</v>
      </c>
      <c r="D19" s="93"/>
    </row>
    <row r="20">
      <c r="A20" s="93" t="s">
        <v>141</v>
      </c>
      <c r="B20" s="93"/>
      <c r="C20" s="98" t="n">
        <v>0</v>
      </c>
      <c r="D20" s="93"/>
    </row>
    <row r="21">
      <c r="A21" s="93" t="s">
        <v>142</v>
      </c>
      <c r="B21" s="93"/>
      <c r="C21" s="98" t="n">
        <v>1600</v>
      </c>
      <c r="D21" s="93"/>
      <c r="E21" s="12"/>
      <c r="F21" s="12"/>
    </row>
    <row r="22">
      <c r="A22" s="93" t="s">
        <v>143</v>
      </c>
      <c r="B22" s="93"/>
      <c r="C22" s="98" t="n">
        <v>0</v>
      </c>
      <c r="D22" s="93"/>
      <c r="E22" s="124" t="s">
        <v>38</v>
      </c>
      <c r="F22" s="93"/>
      <c r="G22" s="114" t="n">
        <v>900</v>
      </c>
    </row>
    <row r="23">
      <c r="A23" s="93" t="s">
        <v>144</v>
      </c>
      <c r="B23" s="93"/>
      <c r="C23" s="98" t="n">
        <v>0</v>
      </c>
      <c r="D23" s="93"/>
      <c r="E23" s="93" t="s">
        <v>174</v>
      </c>
      <c r="F23" s="93"/>
      <c r="G23" s="114" t="n">
        <v>0</v>
      </c>
    </row>
    <row r="24">
      <c r="A24" s="93" t="s">
        <v>145</v>
      </c>
      <c r="B24" s="93"/>
      <c r="C24" s="98" t="n">
        <v>0</v>
      </c>
      <c r="D24" s="93"/>
      <c r="E24" s="12" t="s">
        <v>175</v>
      </c>
      <c r="F24" s="12"/>
      <c r="G24" s="108" t="n">
        <v>0</v>
      </c>
    </row>
    <row r="25">
      <c r="A25" s="93" t="s">
        <v>146</v>
      </c>
      <c r="B25" s="93"/>
      <c r="C25" s="114" t="n">
        <v>12555.07</v>
      </c>
      <c r="D25" s="93"/>
    </row>
    <row r="28">
      <c r="B28" s="104" t="s">
        <v>156</v>
      </c>
      <c r="C28" s="115" t="n">
        <v>56683.59</v>
      </c>
      <c r="D28" s="119"/>
      <c r="E28" s="119"/>
      <c r="F28" s="104" t="s">
        <v>176</v>
      </c>
      <c r="G28" s="115" t="n">
        <f>C28-G18+G22+G23+G24</f>
        <v>45783.59</v>
      </c>
    </row>
    <row r="30">
      <c r="A30" s="94" t="s">
        <v>147</v>
      </c>
      <c r="B30" s="105"/>
      <c r="C30" s="105"/>
      <c r="D30" s="105"/>
      <c r="E30" s="105"/>
      <c r="F30" s="105"/>
      <c r="G30" s="134"/>
    </row>
    <row r="31">
      <c r="A31" s="95" t="s">
        <v>148</v>
      </c>
      <c r="B31" s="106"/>
      <c r="C31" s="47" t="s">
        <v>157</v>
      </c>
      <c r="D31" s="120" t="s">
        <v>158</v>
      </c>
      <c r="E31" s="120"/>
      <c r="F31" s="120"/>
      <c r="G31" s="135"/>
    </row>
    <row r="32">
      <c r="A32" s="96" t="s">
        <v>149</v>
      </c>
      <c r="B32" s="98" t="n">
        <v>88.51</v>
      </c>
      <c r="C32" s="116" t="n">
        <v>0</v>
      </c>
      <c r="D32" s="121" t="s">
        <v>159</v>
      </c>
      <c r="E32" s="125" t="n">
        <v>0</v>
      </c>
      <c r="F32" s="121" t="s">
        <v>177</v>
      </c>
      <c r="G32" s="136" t="n">
        <v>18</v>
      </c>
    </row>
    <row r="33">
      <c r="A33" s="96" t="s">
        <v>150</v>
      </c>
      <c r="B33" s="107" t="n">
        <v>2.76</v>
      </c>
      <c r="C33" s="12"/>
      <c r="D33" s="121" t="s">
        <v>160</v>
      </c>
      <c r="E33" s="126" t="n">
        <v>18</v>
      </c>
      <c r="F33" s="121" t="s">
        <v>178</v>
      </c>
      <c r="G33" s="137" t="n">
        <v>0</v>
      </c>
    </row>
    <row r="34">
      <c r="A34" s="96" t="s">
        <v>151</v>
      </c>
      <c r="B34" s="108" t="n">
        <v>0</v>
      </c>
      <c r="C34" s="116" t="n">
        <v>0</v>
      </c>
      <c r="D34" s="121" t="s">
        <v>161</v>
      </c>
      <c r="E34" s="126" t="n">
        <v>18</v>
      </c>
      <c r="F34" s="121" t="s">
        <v>179</v>
      </c>
      <c r="G34" s="137" t="n">
        <v>9</v>
      </c>
    </row>
    <row r="35">
      <c r="A35" s="96" t="s">
        <v>152</v>
      </c>
      <c r="B35" s="107" t="n">
        <f>B32+B33-B34</f>
        <v>91.27</v>
      </c>
      <c r="C35" s="107" t="n">
        <f>C32-C34</f>
        <v>0</v>
      </c>
      <c r="D35" s="121"/>
      <c r="E35" s="127"/>
      <c r="F35" s="121"/>
      <c r="G35" s="138"/>
    </row>
    <row r="36">
      <c r="A36" s="97"/>
      <c r="B36" s="109"/>
      <c r="C36" s="109"/>
      <c r="D36" s="109"/>
      <c r="E36" s="109"/>
      <c r="F36" s="109"/>
      <c r="G36" s="139"/>
    </row>
    <row r="39">
      <c r="A39" s="98"/>
      <c r="B39" s="98"/>
    </row>
    <row r="40">
      <c r="A40" s="35" t="s">
        <v>153</v>
      </c>
    </row>
    <row r="41">
      <c r="A41" s="35" t="s">
        <v>154</v>
      </c>
    </row>
  </sheetData>
  <mergeCells>
    <mergeCell ref="A31:B31"/>
    <mergeCell ref="D31:G31"/>
    <mergeCell ref="A23:B23"/>
    <mergeCell ref="E23:F23"/>
    <mergeCell ref="A24:B24"/>
    <mergeCell ref="E24:F24"/>
    <mergeCell ref="A25:B25"/>
    <mergeCell ref="A30:G30"/>
    <mergeCell ref="A20:B20"/>
    <mergeCell ref="A21:B21"/>
    <mergeCell ref="E21:F21"/>
    <mergeCell ref="A22:B22"/>
    <mergeCell ref="E22:F22"/>
    <mergeCell ref="E17:F17"/>
    <mergeCell ref="A17:B17"/>
    <mergeCell ref="A18:B18"/>
    <mergeCell ref="E18:F18"/>
    <mergeCell ref="A19:B19"/>
    <mergeCell ref="A14:B14"/>
    <mergeCell ref="E14:F14"/>
    <mergeCell ref="A15:B15"/>
    <mergeCell ref="E15:F15"/>
    <mergeCell ref="A16:B16"/>
    <mergeCell ref="E16:F16"/>
    <mergeCell ref="A9:B9"/>
    <mergeCell ref="E9:F9"/>
    <mergeCell ref="E10:F10"/>
    <mergeCell ref="E11:F11"/>
    <mergeCell ref="A13:B13"/>
    <mergeCell ref="E13:F13"/>
    <mergeCell ref="A8:B8"/>
    <mergeCell ref="E8:F8"/>
    <mergeCell ref="B1:G4"/>
    <mergeCell ref="A6:B6"/>
    <mergeCell ref="E6:F6"/>
    <mergeCell ref="A7:B7"/>
    <mergeCell ref="E7:F7"/>
  </mergeCells>
  <pageMargins bottom="0.75" footer="0.3" header="0.3" left="0.7" right="0.7" top="0.75"/>
  <pageSetup paperSize="1" orientation="portrait" scale="69"/>
  <drawing r:id="rId1"/>
</worksheet>
</file>

<file path=xl/worksheets/sheet17.xml><?xml version="1.0" encoding="utf-8"?>
<worksheet xmlns:r="http://schemas.openxmlformats.org/officeDocument/2006/relationships" xmlns="http://schemas.openxmlformats.org/spreadsheetml/2006/main">
  <sheetPr>
    <pageSetUpPr fitToPage="true"/>
  </sheetPr>
  <dimension ref="A1:G41"/>
  <sheetViews>
    <sheetView zoomScale="95" topLeftCell="A1" workbookViewId="0" showGridLines="true" showRowColHeaders="true">
      <selection activeCell="H1" sqref="H1:H1"/>
    </sheetView>
  </sheetViews>
  <sheetFormatPr customHeight="false" defaultColWidth="20.57421875" defaultRowHeight="15"/>
  <cols>
    <col min="1" max="1" bestFit="false" customWidth="true" width="20.421875" hidden="false" outlineLevel="0"/>
    <col min="2" max="2" bestFit="false" customWidth="true" width="15.57421875" hidden="false" outlineLevel="0"/>
    <col min="3" max="3" bestFit="false" customWidth="true" width="20.57421875" hidden="false" outlineLevel="0"/>
    <col min="4" max="4" bestFit="false" customWidth="true" width="10.57421875" hidden="false" outlineLevel="0"/>
    <col min="5" max="6" bestFit="false" customWidth="true" width="15.57421875" hidden="false" outlineLevel="0"/>
    <col min="7" max="7" bestFit="false" customWidth="true" width="31.7109375" hidden="false" outlineLevel="0"/>
  </cols>
  <sheetData>
    <row r="1" ht="21" customHeight="true">
      <c r="B1" s="99" t="s">
        <v>155</v>
      </c>
      <c r="C1" s="99"/>
      <c r="D1" s="99"/>
      <c r="E1" s="99"/>
      <c r="F1" s="99"/>
      <c r="G1" s="99"/>
    </row>
    <row r="2" ht="14.25" customHeight="true">
      <c r="B2" s="100"/>
      <c r="C2" s="100"/>
      <c r="D2" s="100"/>
      <c r="E2" s="100"/>
      <c r="F2" s="100"/>
      <c r="G2" s="100"/>
    </row>
    <row r="3" ht="14.25" customHeight="true">
      <c r="B3" s="100"/>
      <c r="C3" s="100"/>
      <c r="D3" s="100"/>
      <c r="E3" s="100"/>
      <c r="F3" s="100"/>
      <c r="G3" s="100"/>
    </row>
    <row r="4" ht="14.25" customHeight="true">
      <c r="B4" s="100"/>
      <c r="C4" s="100"/>
      <c r="D4" s="100"/>
      <c r="E4" s="100"/>
      <c r="F4" s="100"/>
      <c r="G4" s="100"/>
    </row>
    <row r="6">
      <c r="A6" s="90" t="s">
        <v>130</v>
      </c>
      <c r="B6" s="101"/>
      <c r="C6" s="110" t="s">
        <v>6</v>
      </c>
      <c r="D6" s="117"/>
      <c r="E6" s="90" t="s">
        <v>162</v>
      </c>
      <c r="F6" s="101"/>
      <c r="G6" s="110" t="s">
        <v>187</v>
      </c>
    </row>
    <row r="7">
      <c r="A7" s="91" t="s">
        <v>131</v>
      </c>
      <c r="B7" s="102"/>
      <c r="C7" s="111"/>
      <c r="D7" s="117"/>
      <c r="E7" s="91" t="s">
        <v>163</v>
      </c>
      <c r="F7" s="102"/>
      <c r="G7" s="111"/>
    </row>
    <row r="8">
      <c r="A8" s="91" t="s">
        <v>132</v>
      </c>
      <c r="B8" s="102"/>
      <c r="C8" s="112" t="n">
        <v>41445286410</v>
      </c>
      <c r="D8" s="118"/>
      <c r="E8" s="91" t="s">
        <v>164</v>
      </c>
      <c r="F8" s="102"/>
      <c r="G8" s="130" t="s">
        <v>206</v>
      </c>
    </row>
    <row r="9">
      <c r="A9" s="92" t="s">
        <v>133</v>
      </c>
      <c r="B9" s="103"/>
      <c r="C9" s="113" t="n">
        <v>46113</v>
      </c>
      <c r="D9" s="117"/>
      <c r="E9" s="91" t="s">
        <v>165</v>
      </c>
      <c r="F9" s="102"/>
      <c r="G9" s="131" t="n">
        <v>23</v>
      </c>
    </row>
    <row r="10">
      <c r="E10" s="122" t="s">
        <v>166</v>
      </c>
      <c r="F10" s="128"/>
      <c r="G10" s="132" t="n">
        <v>37100</v>
      </c>
    </row>
    <row r="11">
      <c r="E11" s="123" t="s">
        <v>167</v>
      </c>
      <c r="F11" s="129"/>
      <c r="G11" s="133" t="n">
        <v>0</v>
      </c>
    </row>
    <row r="13">
      <c r="A13" s="93" t="s">
        <v>134</v>
      </c>
      <c r="B13" s="93"/>
      <c r="C13" s="114" t="n">
        <v>0</v>
      </c>
      <c r="E13" s="12" t="s">
        <v>168</v>
      </c>
      <c r="F13" s="12"/>
      <c r="G13" s="98" t="n">
        <v>1800</v>
      </c>
    </row>
    <row r="14">
      <c r="A14" s="93" t="s">
        <v>135</v>
      </c>
      <c r="B14" s="93"/>
      <c r="C14" s="114" t="n">
        <v>0</v>
      </c>
      <c r="D14" s="93"/>
      <c r="E14" s="12" t="s">
        <v>169</v>
      </c>
      <c r="F14" s="12"/>
      <c r="G14" s="108" t="n">
        <v>0</v>
      </c>
    </row>
    <row r="15">
      <c r="A15" s="93" t="s">
        <v>136</v>
      </c>
      <c r="B15" s="93"/>
      <c r="C15" s="114" t="n">
        <v>0</v>
      </c>
      <c r="D15" s="93"/>
      <c r="E15" s="12" t="s">
        <v>170</v>
      </c>
      <c r="F15" s="12"/>
      <c r="G15" s="108" t="n">
        <v>0</v>
      </c>
    </row>
    <row r="16">
      <c r="A16" s="93" t="s">
        <v>137</v>
      </c>
      <c r="B16" s="93"/>
      <c r="C16" s="114" t="n">
        <v>1250</v>
      </c>
      <c r="D16" s="93"/>
      <c r="E16" s="12" t="s">
        <v>171</v>
      </c>
      <c r="F16" s="12"/>
      <c r="G16" s="108" t="n">
        <v>0</v>
      </c>
    </row>
    <row r="17">
      <c r="A17" s="93" t="s">
        <v>138</v>
      </c>
      <c r="B17" s="93"/>
      <c r="C17" s="114" t="n">
        <v>1600</v>
      </c>
      <c r="D17" s="93"/>
      <c r="E17" s="12" t="s">
        <v>172</v>
      </c>
      <c r="F17" s="12"/>
      <c r="G17" s="108" t="n">
        <v>0</v>
      </c>
    </row>
    <row r="18">
      <c r="A18" s="93" t="s">
        <v>139</v>
      </c>
      <c r="B18" s="93"/>
      <c r="C18" s="98" t="n">
        <v>0</v>
      </c>
      <c r="D18" s="93"/>
      <c r="E18" s="12" t="s">
        <v>173</v>
      </c>
      <c r="F18" s="12"/>
      <c r="G18" s="58" t="n">
        <f>SUM(G13:G17)</f>
        <v>1800</v>
      </c>
    </row>
    <row r="19">
      <c r="A19" s="93" t="s">
        <v>140</v>
      </c>
      <c r="B19" s="93"/>
      <c r="C19" s="98" t="n">
        <v>0</v>
      </c>
      <c r="D19" s="93"/>
    </row>
    <row r="20">
      <c r="A20" s="93" t="s">
        <v>141</v>
      </c>
      <c r="B20" s="93"/>
      <c r="C20" s="98" t="n">
        <v>0</v>
      </c>
      <c r="D20" s="93"/>
    </row>
    <row r="21">
      <c r="A21" s="93" t="s">
        <v>142</v>
      </c>
      <c r="B21" s="93"/>
      <c r="C21" s="98" t="n">
        <v>1600</v>
      </c>
      <c r="D21" s="93"/>
      <c r="E21" s="12"/>
      <c r="F21" s="12"/>
    </row>
    <row r="22">
      <c r="A22" s="93" t="s">
        <v>143</v>
      </c>
      <c r="B22" s="93"/>
      <c r="C22" s="98" t="n">
        <v>0</v>
      </c>
      <c r="D22" s="93"/>
      <c r="E22" s="124" t="s">
        <v>38</v>
      </c>
      <c r="F22" s="93"/>
      <c r="G22" s="114" t="n">
        <v>0</v>
      </c>
    </row>
    <row r="23">
      <c r="A23" s="93" t="s">
        <v>144</v>
      </c>
      <c r="B23" s="93"/>
      <c r="C23" s="98" t="n">
        <v>0</v>
      </c>
      <c r="D23" s="93"/>
      <c r="E23" s="93" t="s">
        <v>174</v>
      </c>
      <c r="F23" s="93"/>
      <c r="G23" s="114" t="n">
        <v>0</v>
      </c>
    </row>
    <row r="24">
      <c r="A24" s="93" t="s">
        <v>145</v>
      </c>
      <c r="B24" s="93"/>
      <c r="C24" s="98" t="n">
        <v>0</v>
      </c>
      <c r="D24" s="93"/>
      <c r="E24" s="12" t="s">
        <v>175</v>
      </c>
      <c r="F24" s="12"/>
      <c r="G24" s="108" t="n">
        <v>0</v>
      </c>
    </row>
    <row r="25">
      <c r="A25" s="93" t="s">
        <v>146</v>
      </c>
      <c r="B25" s="93"/>
      <c r="C25" s="114" t="n">
        <v>-4450</v>
      </c>
      <c r="D25" s="93"/>
    </row>
    <row r="28">
      <c r="B28" s="104" t="s">
        <v>156</v>
      </c>
      <c r="C28" s="115" t="n">
        <v>0</v>
      </c>
      <c r="D28" s="119"/>
      <c r="E28" s="119"/>
      <c r="F28" s="104" t="s">
        <v>176</v>
      </c>
      <c r="G28" s="115" t="n">
        <f>C28-G18+G22+G23+G24</f>
        <v>-1800</v>
      </c>
    </row>
    <row r="30">
      <c r="A30" s="94" t="s">
        <v>147</v>
      </c>
      <c r="B30" s="105"/>
      <c r="C30" s="105"/>
      <c r="D30" s="105"/>
      <c r="E30" s="105"/>
      <c r="F30" s="105"/>
      <c r="G30" s="134"/>
    </row>
    <row r="31">
      <c r="A31" s="95" t="s">
        <v>148</v>
      </c>
      <c r="B31" s="106"/>
      <c r="C31" s="47" t="s">
        <v>157</v>
      </c>
      <c r="D31" s="120" t="s">
        <v>158</v>
      </c>
      <c r="E31" s="120"/>
      <c r="F31" s="120"/>
      <c r="G31" s="135"/>
    </row>
    <row r="32">
      <c r="A32" s="96" t="s">
        <v>149</v>
      </c>
      <c r="B32" s="98" t="n">
        <v>32.11</v>
      </c>
      <c r="C32" s="116" t="n">
        <v>0</v>
      </c>
      <c r="D32" s="121" t="s">
        <v>159</v>
      </c>
      <c r="E32" s="125" t="n">
        <v>0</v>
      </c>
      <c r="F32" s="121" t="s">
        <v>177</v>
      </c>
      <c r="G32" s="136" t="n">
        <v>0</v>
      </c>
    </row>
    <row r="33">
      <c r="A33" s="96" t="s">
        <v>150</v>
      </c>
      <c r="B33" s="107" t="n">
        <v>0</v>
      </c>
      <c r="C33" s="12"/>
      <c r="D33" s="121" t="s">
        <v>160</v>
      </c>
      <c r="E33" s="126" t="n">
        <v>18</v>
      </c>
      <c r="F33" s="121" t="s">
        <v>178</v>
      </c>
      <c r="G33" s="137" t="n">
        <v>0</v>
      </c>
    </row>
    <row r="34">
      <c r="A34" s="96" t="s">
        <v>151</v>
      </c>
      <c r="B34" s="108" t="n">
        <v>0</v>
      </c>
      <c r="C34" s="116" t="n">
        <v>0</v>
      </c>
      <c r="D34" s="121" t="s">
        <v>161</v>
      </c>
      <c r="E34" s="126" t="n">
        <v>27</v>
      </c>
      <c r="F34" s="121" t="s">
        <v>179</v>
      </c>
      <c r="G34" s="137" t="n">
        <v>54</v>
      </c>
    </row>
    <row r="35">
      <c r="A35" s="96" t="s">
        <v>152</v>
      </c>
      <c r="B35" s="107" t="n">
        <f>B32+B33-B34</f>
        <v>32.11</v>
      </c>
      <c r="C35" s="107" t="n">
        <f>C32-C34</f>
        <v>0</v>
      </c>
      <c r="D35" s="121"/>
      <c r="E35" s="127"/>
      <c r="F35" s="121"/>
      <c r="G35" s="138"/>
    </row>
    <row r="36">
      <c r="A36" s="97"/>
      <c r="B36" s="109"/>
      <c r="C36" s="109"/>
      <c r="D36" s="109"/>
      <c r="E36" s="109"/>
      <c r="F36" s="109"/>
      <c r="G36" s="139"/>
    </row>
    <row r="39">
      <c r="A39" s="98"/>
      <c r="B39" s="98"/>
    </row>
    <row r="40">
      <c r="A40" s="35" t="s">
        <v>153</v>
      </c>
    </row>
    <row r="41">
      <c r="A41" s="35" t="s">
        <v>154</v>
      </c>
    </row>
  </sheetData>
  <mergeCells>
    <mergeCell ref="A31:B31"/>
    <mergeCell ref="D31:G31"/>
    <mergeCell ref="A23:B23"/>
    <mergeCell ref="E23:F23"/>
    <mergeCell ref="A24:B24"/>
    <mergeCell ref="E24:F24"/>
    <mergeCell ref="A25:B25"/>
    <mergeCell ref="A30:G30"/>
    <mergeCell ref="A20:B20"/>
    <mergeCell ref="A21:B21"/>
    <mergeCell ref="E21:F21"/>
    <mergeCell ref="A22:B22"/>
    <mergeCell ref="E22:F22"/>
    <mergeCell ref="E17:F17"/>
    <mergeCell ref="A17:B17"/>
    <mergeCell ref="A18:B18"/>
    <mergeCell ref="E18:F18"/>
    <mergeCell ref="A19:B19"/>
    <mergeCell ref="A14:B14"/>
    <mergeCell ref="E14:F14"/>
    <mergeCell ref="A15:B15"/>
    <mergeCell ref="E15:F15"/>
    <mergeCell ref="A16:B16"/>
    <mergeCell ref="E16:F16"/>
    <mergeCell ref="A9:B9"/>
    <mergeCell ref="E9:F9"/>
    <mergeCell ref="E10:F10"/>
    <mergeCell ref="E11:F11"/>
    <mergeCell ref="A13:B13"/>
    <mergeCell ref="E13:F13"/>
    <mergeCell ref="A8:B8"/>
    <mergeCell ref="E8:F8"/>
    <mergeCell ref="B1:G4"/>
    <mergeCell ref="A6:B6"/>
    <mergeCell ref="E6:F6"/>
    <mergeCell ref="A7:B7"/>
    <mergeCell ref="E7:F7"/>
  </mergeCells>
  <pageMargins bottom="0.75" footer="0.3" header="0.3" left="0.7" right="0.7" top="0.75"/>
  <pageSetup paperSize="1" orientation="portrait" scale="69"/>
  <drawing r:id="rId1"/>
</worksheet>
</file>

<file path=xl/worksheets/sheet18.xml><?xml version="1.0" encoding="utf-8"?>
<worksheet xmlns:r="http://schemas.openxmlformats.org/officeDocument/2006/relationships" xmlns="http://schemas.openxmlformats.org/spreadsheetml/2006/main">
  <sheetPr>
    <pageSetUpPr fitToPage="true"/>
  </sheetPr>
  <dimension ref="A1:G41"/>
  <sheetViews>
    <sheetView zoomScale="95" topLeftCell="A1" workbookViewId="0" showGridLines="true" showRowColHeaders="true">
      <selection activeCell="H1" sqref="H1:H1"/>
    </sheetView>
  </sheetViews>
  <sheetFormatPr customHeight="false" defaultColWidth="20.57421875" defaultRowHeight="15"/>
  <cols>
    <col min="1" max="1" bestFit="false" customWidth="true" width="20.421875" hidden="false" outlineLevel="0"/>
    <col min="2" max="2" bestFit="false" customWidth="true" width="15.57421875" hidden="false" outlineLevel="0"/>
    <col min="3" max="3" bestFit="false" customWidth="true" width="20.57421875" hidden="false" outlineLevel="0"/>
    <col min="4" max="4" bestFit="false" customWidth="true" width="10.57421875" hidden="false" outlineLevel="0"/>
    <col min="5" max="6" bestFit="false" customWidth="true" width="15.57421875" hidden="false" outlineLevel="0"/>
    <col min="7" max="7" bestFit="false" customWidth="true" width="31.7109375" hidden="false" outlineLevel="0"/>
  </cols>
  <sheetData>
    <row r="1" ht="21" customHeight="true">
      <c r="B1" s="99" t="s">
        <v>155</v>
      </c>
      <c r="C1" s="99"/>
      <c r="D1" s="99"/>
      <c r="E1" s="99"/>
      <c r="F1" s="99"/>
      <c r="G1" s="99"/>
    </row>
    <row r="2" ht="14.25" customHeight="true">
      <c r="B2" s="100"/>
      <c r="C2" s="100"/>
      <c r="D2" s="100"/>
      <c r="E2" s="100"/>
      <c r="F2" s="100"/>
      <c r="G2" s="100"/>
    </row>
    <row r="3" ht="14.25" customHeight="true">
      <c r="B3" s="100"/>
      <c r="C3" s="100"/>
      <c r="D3" s="100"/>
      <c r="E3" s="100"/>
      <c r="F3" s="100"/>
      <c r="G3" s="100"/>
    </row>
    <row r="4" ht="14.25" customHeight="true">
      <c r="B4" s="100"/>
      <c r="C4" s="100"/>
      <c r="D4" s="100"/>
      <c r="E4" s="100"/>
      <c r="F4" s="100"/>
      <c r="G4" s="100"/>
    </row>
    <row r="6">
      <c r="A6" s="90" t="s">
        <v>130</v>
      </c>
      <c r="B6" s="101"/>
      <c r="C6" s="110" t="s">
        <v>21</v>
      </c>
      <c r="D6" s="117"/>
      <c r="E6" s="90" t="s">
        <v>162</v>
      </c>
      <c r="F6" s="101"/>
      <c r="G6" s="110" t="s">
        <v>199</v>
      </c>
    </row>
    <row r="7">
      <c r="A7" s="91" t="s">
        <v>131</v>
      </c>
      <c r="B7" s="102"/>
      <c r="C7" s="111"/>
      <c r="D7" s="117"/>
      <c r="E7" s="91" t="s">
        <v>163</v>
      </c>
      <c r="F7" s="102"/>
      <c r="G7" s="111"/>
    </row>
    <row r="8">
      <c r="A8" s="91" t="s">
        <v>132</v>
      </c>
      <c r="B8" s="102"/>
      <c r="C8" s="112" t="n">
        <v>18401536139</v>
      </c>
      <c r="D8" s="118"/>
      <c r="E8" s="91" t="s">
        <v>164</v>
      </c>
      <c r="F8" s="102"/>
      <c r="G8" s="130" t="s">
        <v>207</v>
      </c>
    </row>
    <row r="9">
      <c r="A9" s="92" t="s">
        <v>133</v>
      </c>
      <c r="B9" s="103"/>
      <c r="C9" s="113" t="n">
        <v>46113</v>
      </c>
      <c r="D9" s="117"/>
      <c r="E9" s="91" t="s">
        <v>165</v>
      </c>
      <c r="F9" s="102"/>
      <c r="G9" s="131" t="n">
        <v>23</v>
      </c>
    </row>
    <row r="10">
      <c r="E10" s="122" t="s">
        <v>166</v>
      </c>
      <c r="F10" s="128"/>
      <c r="G10" s="132" t="n">
        <v>40000</v>
      </c>
    </row>
    <row r="11">
      <c r="E11" s="123" t="s">
        <v>167</v>
      </c>
      <c r="F11" s="129"/>
      <c r="G11" s="133" t="n">
        <v>180.48</v>
      </c>
    </row>
    <row r="13">
      <c r="A13" s="93" t="s">
        <v>134</v>
      </c>
      <c r="B13" s="93"/>
      <c r="C13" s="114" t="n">
        <v>19434.02</v>
      </c>
      <c r="E13" s="12" t="s">
        <v>168</v>
      </c>
      <c r="F13" s="12"/>
      <c r="G13" s="98" t="n">
        <v>1800</v>
      </c>
    </row>
    <row r="14">
      <c r="A14" s="93" t="s">
        <v>135</v>
      </c>
      <c r="B14" s="93"/>
      <c r="C14" s="114" t="n">
        <v>7773.61</v>
      </c>
      <c r="D14" s="93"/>
      <c r="E14" s="12" t="s">
        <v>169</v>
      </c>
      <c r="F14" s="12"/>
      <c r="G14" s="108" t="n">
        <v>0</v>
      </c>
    </row>
    <row r="15">
      <c r="A15" s="93" t="s">
        <v>136</v>
      </c>
      <c r="B15" s="93"/>
      <c r="C15" s="114" t="n">
        <v>0</v>
      </c>
      <c r="D15" s="93"/>
      <c r="E15" s="12" t="s">
        <v>170</v>
      </c>
      <c r="F15" s="12"/>
      <c r="G15" s="108" t="n">
        <v>0</v>
      </c>
    </row>
    <row r="16">
      <c r="A16" s="93" t="s">
        <v>137</v>
      </c>
      <c r="B16" s="93"/>
      <c r="C16" s="114" t="n">
        <v>1250</v>
      </c>
      <c r="D16" s="93"/>
      <c r="E16" s="12" t="s">
        <v>171</v>
      </c>
      <c r="F16" s="12"/>
      <c r="G16" s="108" t="n">
        <v>0</v>
      </c>
    </row>
    <row r="17">
      <c r="A17" s="93" t="s">
        <v>138</v>
      </c>
      <c r="B17" s="93"/>
      <c r="C17" s="114" t="n">
        <v>1600</v>
      </c>
      <c r="D17" s="93"/>
      <c r="E17" s="12" t="s">
        <v>172</v>
      </c>
      <c r="F17" s="12"/>
      <c r="G17" s="108" t="n">
        <v>0</v>
      </c>
    </row>
    <row r="18">
      <c r="A18" s="93" t="s">
        <v>139</v>
      </c>
      <c r="B18" s="93"/>
      <c r="C18" s="98" t="n">
        <v>0</v>
      </c>
      <c r="D18" s="93"/>
      <c r="E18" s="12" t="s">
        <v>173</v>
      </c>
      <c r="F18" s="12"/>
      <c r="G18" s="58" t="n">
        <f>SUM(G13:G17)</f>
        <v>1800</v>
      </c>
    </row>
    <row r="19">
      <c r="A19" s="93" t="s">
        <v>140</v>
      </c>
      <c r="B19" s="93"/>
      <c r="C19" s="98" t="n">
        <v>0</v>
      </c>
      <c r="D19" s="93"/>
    </row>
    <row r="20">
      <c r="A20" s="93" t="s">
        <v>141</v>
      </c>
      <c r="B20" s="93"/>
      <c r="C20" s="98" t="n">
        <v>0</v>
      </c>
      <c r="D20" s="93"/>
    </row>
    <row r="21">
      <c r="A21" s="93" t="s">
        <v>142</v>
      </c>
      <c r="B21" s="93"/>
      <c r="C21" s="98" t="n">
        <v>1600</v>
      </c>
      <c r="D21" s="93"/>
      <c r="E21" s="12"/>
      <c r="F21" s="12"/>
    </row>
    <row r="22">
      <c r="A22" s="93" t="s">
        <v>143</v>
      </c>
      <c r="B22" s="93"/>
      <c r="C22" s="98" t="n">
        <v>0</v>
      </c>
      <c r="D22" s="93"/>
      <c r="E22" s="124" t="s">
        <v>38</v>
      </c>
      <c r="F22" s="93"/>
      <c r="G22" s="114" t="n">
        <v>6000</v>
      </c>
    </row>
    <row r="23">
      <c r="A23" s="93" t="s">
        <v>144</v>
      </c>
      <c r="B23" s="93"/>
      <c r="C23" s="98" t="n">
        <v>0</v>
      </c>
      <c r="D23" s="93"/>
      <c r="E23" s="93" t="s">
        <v>174</v>
      </c>
      <c r="F23" s="93"/>
      <c r="G23" s="114" t="n">
        <v>0</v>
      </c>
    </row>
    <row r="24">
      <c r="A24" s="93" t="s">
        <v>145</v>
      </c>
      <c r="B24" s="93"/>
      <c r="C24" s="98" t="n">
        <v>0</v>
      </c>
      <c r="D24" s="93"/>
      <c r="E24" s="12" t="s">
        <v>175</v>
      </c>
      <c r="F24" s="12"/>
      <c r="G24" s="108" t="n">
        <v>0</v>
      </c>
    </row>
    <row r="25">
      <c r="A25" s="93" t="s">
        <v>146</v>
      </c>
      <c r="B25" s="93"/>
      <c r="C25" s="114" t="n">
        <v>7210.4</v>
      </c>
      <c r="D25" s="93"/>
    </row>
    <row r="28">
      <c r="B28" s="104" t="s">
        <v>156</v>
      </c>
      <c r="C28" s="115" t="n">
        <v>38868.03</v>
      </c>
      <c r="D28" s="119"/>
      <c r="E28" s="119"/>
      <c r="F28" s="104" t="s">
        <v>176</v>
      </c>
      <c r="G28" s="115" t="n">
        <f>C28-G18+G22+G23+G24</f>
        <v>43068.03</v>
      </c>
    </row>
    <row r="30">
      <c r="A30" s="94" t="s">
        <v>147</v>
      </c>
      <c r="B30" s="105"/>
      <c r="C30" s="105"/>
      <c r="D30" s="105"/>
      <c r="E30" s="105"/>
      <c r="F30" s="105"/>
      <c r="G30" s="134"/>
    </row>
    <row r="31">
      <c r="A31" s="95" t="s">
        <v>148</v>
      </c>
      <c r="B31" s="106"/>
      <c r="C31" s="47" t="s">
        <v>157</v>
      </c>
      <c r="D31" s="120" t="s">
        <v>158</v>
      </c>
      <c r="E31" s="120"/>
      <c r="F31" s="120"/>
      <c r="G31" s="135"/>
    </row>
    <row r="32">
      <c r="A32" s="96" t="s">
        <v>149</v>
      </c>
      <c r="B32" s="98" t="n">
        <v>38.98</v>
      </c>
      <c r="C32" s="116" t="n">
        <v>0</v>
      </c>
      <c r="D32" s="121" t="s">
        <v>159</v>
      </c>
      <c r="E32" s="125" t="n">
        <v>0</v>
      </c>
      <c r="F32" s="121" t="s">
        <v>177</v>
      </c>
      <c r="G32" s="136" t="n">
        <v>9</v>
      </c>
    </row>
    <row r="33">
      <c r="A33" s="96" t="s">
        <v>150</v>
      </c>
      <c r="B33" s="107" t="n">
        <v>10.15</v>
      </c>
      <c r="C33" s="12"/>
      <c r="D33" s="121" t="s">
        <v>160</v>
      </c>
      <c r="E33" s="126" t="n">
        <v>18</v>
      </c>
      <c r="F33" s="121" t="s">
        <v>178</v>
      </c>
      <c r="G33" s="137" t="n">
        <v>0</v>
      </c>
    </row>
    <row r="34">
      <c r="A34" s="96" t="s">
        <v>151</v>
      </c>
      <c r="B34" s="108" t="n">
        <v>0</v>
      </c>
      <c r="C34" s="116" t="n">
        <v>0</v>
      </c>
      <c r="D34" s="121" t="s">
        <v>161</v>
      </c>
      <c r="E34" s="126" t="n">
        <v>63</v>
      </c>
      <c r="F34" s="121" t="s">
        <v>179</v>
      </c>
      <c r="G34" s="137" t="n">
        <v>45</v>
      </c>
    </row>
    <row r="35">
      <c r="A35" s="96" t="s">
        <v>152</v>
      </c>
      <c r="B35" s="107" t="n">
        <f>B32+B33-B34</f>
        <v>49.13</v>
      </c>
      <c r="C35" s="107" t="n">
        <f>C32-C34</f>
        <v>0</v>
      </c>
      <c r="D35" s="121"/>
      <c r="E35" s="127"/>
      <c r="F35" s="121"/>
      <c r="G35" s="138"/>
    </row>
    <row r="36">
      <c r="A36" s="97"/>
      <c r="B36" s="109"/>
      <c r="C36" s="109"/>
      <c r="D36" s="109"/>
      <c r="E36" s="109"/>
      <c r="F36" s="109"/>
      <c r="G36" s="139"/>
    </row>
    <row r="39">
      <c r="A39" s="98"/>
      <c r="B39" s="98"/>
    </row>
    <row r="40">
      <c r="A40" s="35" t="s">
        <v>153</v>
      </c>
    </row>
    <row r="41">
      <c r="A41" s="35" t="s">
        <v>154</v>
      </c>
    </row>
  </sheetData>
  <mergeCells>
    <mergeCell ref="A31:B31"/>
    <mergeCell ref="D31:G31"/>
    <mergeCell ref="A23:B23"/>
    <mergeCell ref="E23:F23"/>
    <mergeCell ref="A24:B24"/>
    <mergeCell ref="E24:F24"/>
    <mergeCell ref="A25:B25"/>
    <mergeCell ref="A30:G30"/>
    <mergeCell ref="A20:B20"/>
    <mergeCell ref="A21:B21"/>
    <mergeCell ref="E21:F21"/>
    <mergeCell ref="A22:B22"/>
    <mergeCell ref="E22:F22"/>
    <mergeCell ref="E17:F17"/>
    <mergeCell ref="A17:B17"/>
    <mergeCell ref="A18:B18"/>
    <mergeCell ref="E18:F18"/>
    <mergeCell ref="A19:B19"/>
    <mergeCell ref="A14:B14"/>
    <mergeCell ref="E14:F14"/>
    <mergeCell ref="A15:B15"/>
    <mergeCell ref="E15:F15"/>
    <mergeCell ref="A16:B16"/>
    <mergeCell ref="E16:F16"/>
    <mergeCell ref="A9:B9"/>
    <mergeCell ref="E9:F9"/>
    <mergeCell ref="E10:F10"/>
    <mergeCell ref="E11:F11"/>
    <mergeCell ref="A13:B13"/>
    <mergeCell ref="E13:F13"/>
    <mergeCell ref="A8:B8"/>
    <mergeCell ref="E8:F8"/>
    <mergeCell ref="B1:G4"/>
    <mergeCell ref="A6:B6"/>
    <mergeCell ref="E6:F6"/>
    <mergeCell ref="A7:B7"/>
    <mergeCell ref="E7:F7"/>
  </mergeCells>
  <pageMargins bottom="0.75" footer="0.3" header="0.3" left="0.7" right="0.7" top="0.75"/>
  <pageSetup paperSize="1" orientation="portrait" scale="69"/>
  <drawing r:id="rId1"/>
</worksheet>
</file>

<file path=xl/worksheets/sheet19.xml><?xml version="1.0" encoding="utf-8"?>
<worksheet xmlns:r="http://schemas.openxmlformats.org/officeDocument/2006/relationships" xmlns="http://schemas.openxmlformats.org/spreadsheetml/2006/main">
  <sheetPr>
    <pageSetUpPr fitToPage="true"/>
  </sheetPr>
  <dimension ref="A1:G41"/>
  <sheetViews>
    <sheetView zoomScale="95" topLeftCell="A1" workbookViewId="0" showGridLines="true" showRowColHeaders="true">
      <selection activeCell="H1" sqref="H1:H1"/>
    </sheetView>
  </sheetViews>
  <sheetFormatPr customHeight="false" defaultColWidth="20.57421875" defaultRowHeight="15"/>
  <cols>
    <col min="1" max="1" bestFit="false" customWidth="true" width="20.421875" hidden="false" outlineLevel="0"/>
    <col min="2" max="2" bestFit="false" customWidth="true" width="15.57421875" hidden="false" outlineLevel="0"/>
    <col min="3" max="3" bestFit="false" customWidth="true" width="20.57421875" hidden="false" outlineLevel="0"/>
    <col min="4" max="4" bestFit="false" customWidth="true" width="10.57421875" hidden="false" outlineLevel="0"/>
    <col min="5" max="6" bestFit="false" customWidth="true" width="15.57421875" hidden="false" outlineLevel="0"/>
    <col min="7" max="7" bestFit="false" customWidth="true" width="31.7109375" hidden="false" outlineLevel="0"/>
  </cols>
  <sheetData>
    <row r="1" ht="21" customHeight="true">
      <c r="B1" s="99" t="s">
        <v>155</v>
      </c>
      <c r="C1" s="99"/>
      <c r="D1" s="99"/>
      <c r="E1" s="99"/>
      <c r="F1" s="99"/>
      <c r="G1" s="99"/>
    </row>
    <row r="2" ht="14.25" customHeight="true">
      <c r="B2" s="100"/>
      <c r="C2" s="100"/>
      <c r="D2" s="100"/>
      <c r="E2" s="100"/>
      <c r="F2" s="100"/>
      <c r="G2" s="100"/>
    </row>
    <row r="3" ht="14.25" customHeight="true">
      <c r="B3" s="100"/>
      <c r="C3" s="100"/>
      <c r="D3" s="100"/>
      <c r="E3" s="100"/>
      <c r="F3" s="100"/>
      <c r="G3" s="100"/>
    </row>
    <row r="4" ht="14.25" customHeight="true">
      <c r="B4" s="100"/>
      <c r="C4" s="100"/>
      <c r="D4" s="100"/>
      <c r="E4" s="100"/>
      <c r="F4" s="100"/>
      <c r="G4" s="100"/>
    </row>
    <row r="6">
      <c r="A6" s="90" t="s">
        <v>130</v>
      </c>
      <c r="B6" s="101"/>
      <c r="C6" s="110" t="s">
        <v>23</v>
      </c>
      <c r="D6" s="117"/>
      <c r="E6" s="90" t="s">
        <v>162</v>
      </c>
      <c r="F6" s="101"/>
      <c r="G6" s="110" t="s">
        <v>208</v>
      </c>
    </row>
    <row r="7">
      <c r="A7" s="91" t="s">
        <v>131</v>
      </c>
      <c r="B7" s="102"/>
      <c r="C7" s="111"/>
      <c r="D7" s="117"/>
      <c r="E7" s="91" t="s">
        <v>163</v>
      </c>
      <c r="F7" s="102"/>
      <c r="G7" s="111"/>
    </row>
    <row r="8">
      <c r="A8" s="91" t="s">
        <v>132</v>
      </c>
      <c r="B8" s="102"/>
      <c r="C8" s="112" t="n">
        <v>1671000101568</v>
      </c>
      <c r="D8" s="118"/>
      <c r="E8" s="91" t="s">
        <v>164</v>
      </c>
      <c r="F8" s="102"/>
      <c r="G8" s="130" t="s">
        <v>209</v>
      </c>
    </row>
    <row r="9">
      <c r="A9" s="92" t="s">
        <v>133</v>
      </c>
      <c r="B9" s="103"/>
      <c r="C9" s="113" t="n">
        <v>46113</v>
      </c>
      <c r="D9" s="117"/>
      <c r="E9" s="91" t="s">
        <v>165</v>
      </c>
      <c r="F9" s="102"/>
      <c r="G9" s="131" t="n">
        <v>23</v>
      </c>
    </row>
    <row r="10">
      <c r="E10" s="122" t="s">
        <v>166</v>
      </c>
      <c r="F10" s="128"/>
      <c r="G10" s="132" t="n">
        <v>27500</v>
      </c>
    </row>
    <row r="11">
      <c r="E11" s="123" t="s">
        <v>167</v>
      </c>
      <c r="F11" s="129"/>
      <c r="G11" s="133" t="n">
        <v>233.84</v>
      </c>
    </row>
    <row r="13">
      <c r="A13" s="93" t="s">
        <v>134</v>
      </c>
      <c r="B13" s="93"/>
      <c r="C13" s="114" t="n">
        <v>16489.23</v>
      </c>
      <c r="E13" s="12" t="s">
        <v>168</v>
      </c>
      <c r="F13" s="12"/>
      <c r="G13" s="98" t="n">
        <v>1800</v>
      </c>
    </row>
    <row r="14">
      <c r="A14" s="93" t="s">
        <v>135</v>
      </c>
      <c r="B14" s="93"/>
      <c r="C14" s="114" t="n">
        <v>6595.69</v>
      </c>
      <c r="D14" s="93"/>
      <c r="E14" s="12" t="s">
        <v>169</v>
      </c>
      <c r="F14" s="12"/>
      <c r="G14" s="108" t="n">
        <v>0</v>
      </c>
    </row>
    <row r="15">
      <c r="A15" s="93" t="s">
        <v>136</v>
      </c>
      <c r="B15" s="93"/>
      <c r="C15" s="114" t="n">
        <v>0</v>
      </c>
      <c r="D15" s="93"/>
      <c r="E15" s="12" t="s">
        <v>170</v>
      </c>
      <c r="F15" s="12"/>
      <c r="G15" s="108" t="n">
        <v>0</v>
      </c>
    </row>
    <row r="16">
      <c r="A16" s="93" t="s">
        <v>137</v>
      </c>
      <c r="B16" s="93"/>
      <c r="C16" s="114" t="n">
        <v>1250</v>
      </c>
      <c r="D16" s="93"/>
      <c r="E16" s="12" t="s">
        <v>171</v>
      </c>
      <c r="F16" s="12"/>
      <c r="G16" s="108" t="n">
        <v>0</v>
      </c>
    </row>
    <row r="17">
      <c r="A17" s="93" t="s">
        <v>138</v>
      </c>
      <c r="B17" s="93"/>
      <c r="C17" s="114" t="n">
        <v>1600</v>
      </c>
      <c r="D17" s="93"/>
      <c r="E17" s="12" t="s">
        <v>172</v>
      </c>
      <c r="F17" s="12"/>
      <c r="G17" s="108" t="n">
        <v>0</v>
      </c>
    </row>
    <row r="18">
      <c r="A18" s="93" t="s">
        <v>139</v>
      </c>
      <c r="B18" s="93"/>
      <c r="C18" s="98" t="n">
        <v>0</v>
      </c>
      <c r="D18" s="93"/>
      <c r="E18" s="12" t="s">
        <v>173</v>
      </c>
      <c r="F18" s="12"/>
      <c r="G18" s="58" t="n">
        <f>SUM(G13:G17)</f>
        <v>1800</v>
      </c>
    </row>
    <row r="19">
      <c r="A19" s="93" t="s">
        <v>140</v>
      </c>
      <c r="B19" s="93"/>
      <c r="C19" s="98" t="n">
        <v>0</v>
      </c>
      <c r="D19" s="93"/>
    </row>
    <row r="20">
      <c r="A20" s="93" t="s">
        <v>141</v>
      </c>
      <c r="B20" s="93"/>
      <c r="C20" s="98" t="n">
        <v>0</v>
      </c>
      <c r="D20" s="93"/>
    </row>
    <row r="21">
      <c r="A21" s="93" t="s">
        <v>142</v>
      </c>
      <c r="B21" s="93"/>
      <c r="C21" s="98" t="n">
        <v>1600</v>
      </c>
      <c r="D21" s="93"/>
      <c r="E21" s="12"/>
      <c r="F21" s="12"/>
    </row>
    <row r="22">
      <c r="A22" s="93" t="s">
        <v>143</v>
      </c>
      <c r="B22" s="93"/>
      <c r="C22" s="98" t="n">
        <v>0</v>
      </c>
      <c r="D22" s="93"/>
      <c r="E22" s="124" t="s">
        <v>38</v>
      </c>
      <c r="F22" s="93"/>
      <c r="G22" s="114" t="n">
        <v>600</v>
      </c>
    </row>
    <row r="23">
      <c r="A23" s="93" t="s">
        <v>144</v>
      </c>
      <c r="B23" s="93"/>
      <c r="C23" s="98" t="n">
        <v>0</v>
      </c>
      <c r="D23" s="93"/>
      <c r="E23" s="93" t="s">
        <v>174</v>
      </c>
      <c r="F23" s="93"/>
      <c r="G23" s="114" t="n">
        <v>0</v>
      </c>
    </row>
    <row r="24">
      <c r="A24" s="93" t="s">
        <v>145</v>
      </c>
      <c r="B24" s="93"/>
      <c r="C24" s="98" t="n">
        <v>0</v>
      </c>
      <c r="D24" s="93"/>
      <c r="E24" s="12" t="s">
        <v>175</v>
      </c>
      <c r="F24" s="12"/>
      <c r="G24" s="108" t="n">
        <v>0</v>
      </c>
    </row>
    <row r="25">
      <c r="A25" s="93" t="s">
        <v>146</v>
      </c>
      <c r="B25" s="93"/>
      <c r="C25" s="114" t="n">
        <v>5443.54</v>
      </c>
      <c r="D25" s="93"/>
    </row>
    <row r="28">
      <c r="B28" s="104" t="s">
        <v>156</v>
      </c>
      <c r="C28" s="115" t="n">
        <v>32978.46</v>
      </c>
      <c r="D28" s="119"/>
      <c r="E28" s="119"/>
      <c r="F28" s="104" t="s">
        <v>176</v>
      </c>
      <c r="G28" s="115" t="n">
        <f>C28-G18+G22+G23+G24</f>
        <v>31778.46</v>
      </c>
    </row>
    <row r="30">
      <c r="A30" s="94" t="s">
        <v>147</v>
      </c>
      <c r="B30" s="105"/>
      <c r="C30" s="105"/>
      <c r="D30" s="105"/>
      <c r="E30" s="105"/>
      <c r="F30" s="105"/>
      <c r="G30" s="134"/>
    </row>
    <row r="31">
      <c r="A31" s="95" t="s">
        <v>148</v>
      </c>
      <c r="B31" s="106"/>
      <c r="C31" s="47" t="s">
        <v>157</v>
      </c>
      <c r="D31" s="120" t="s">
        <v>158</v>
      </c>
      <c r="E31" s="120"/>
      <c r="F31" s="120"/>
      <c r="G31" s="135"/>
    </row>
    <row r="32">
      <c r="A32" s="96" t="s">
        <v>149</v>
      </c>
      <c r="B32" s="98" t="n">
        <v>22.73</v>
      </c>
      <c r="C32" s="116" t="n">
        <v>0</v>
      </c>
      <c r="D32" s="121" t="s">
        <v>159</v>
      </c>
      <c r="E32" s="125" t="n">
        <v>0</v>
      </c>
      <c r="F32" s="121" t="s">
        <v>177</v>
      </c>
      <c r="G32" s="136" t="n">
        <v>0</v>
      </c>
    </row>
    <row r="33">
      <c r="A33" s="96" t="s">
        <v>150</v>
      </c>
      <c r="B33" s="107" t="n">
        <v>13.15</v>
      </c>
      <c r="C33" s="12"/>
      <c r="D33" s="121" t="s">
        <v>160</v>
      </c>
      <c r="E33" s="126" t="n">
        <v>18</v>
      </c>
      <c r="F33" s="121" t="s">
        <v>178</v>
      </c>
      <c r="G33" s="137" t="n">
        <v>0</v>
      </c>
    </row>
    <row r="34">
      <c r="A34" s="96" t="s">
        <v>151</v>
      </c>
      <c r="B34" s="108" t="n">
        <v>0</v>
      </c>
      <c r="C34" s="116" t="n">
        <v>0</v>
      </c>
      <c r="D34" s="121" t="s">
        <v>161</v>
      </c>
      <c r="E34" s="126" t="n">
        <v>36</v>
      </c>
      <c r="F34" s="121" t="s">
        <v>179</v>
      </c>
      <c r="G34" s="137" t="n">
        <v>63</v>
      </c>
    </row>
    <row r="35">
      <c r="A35" s="96" t="s">
        <v>152</v>
      </c>
      <c r="B35" s="107" t="n">
        <f>B32+B33-B34</f>
        <v>35.88</v>
      </c>
      <c r="C35" s="107" t="n">
        <f>C32-C34</f>
        <v>0</v>
      </c>
      <c r="D35" s="121"/>
      <c r="E35" s="127"/>
      <c r="F35" s="121"/>
      <c r="G35" s="138"/>
    </row>
    <row r="36">
      <c r="A36" s="97"/>
      <c r="B36" s="109"/>
      <c r="C36" s="109"/>
      <c r="D36" s="109"/>
      <c r="E36" s="109"/>
      <c r="F36" s="109"/>
      <c r="G36" s="139"/>
    </row>
    <row r="39">
      <c r="A39" s="98"/>
      <c r="B39" s="98"/>
    </row>
    <row r="40">
      <c r="A40" s="35" t="s">
        <v>153</v>
      </c>
    </row>
    <row r="41">
      <c r="A41" s="35" t="s">
        <v>154</v>
      </c>
    </row>
  </sheetData>
  <mergeCells>
    <mergeCell ref="A31:B31"/>
    <mergeCell ref="D31:G31"/>
    <mergeCell ref="A23:B23"/>
    <mergeCell ref="E23:F23"/>
    <mergeCell ref="A24:B24"/>
    <mergeCell ref="E24:F24"/>
    <mergeCell ref="A25:B25"/>
    <mergeCell ref="A30:G30"/>
    <mergeCell ref="A20:B20"/>
    <mergeCell ref="A21:B21"/>
    <mergeCell ref="E21:F21"/>
    <mergeCell ref="A22:B22"/>
    <mergeCell ref="E22:F22"/>
    <mergeCell ref="E17:F17"/>
    <mergeCell ref="A17:B17"/>
    <mergeCell ref="A18:B18"/>
    <mergeCell ref="E18:F18"/>
    <mergeCell ref="A19:B19"/>
    <mergeCell ref="A14:B14"/>
    <mergeCell ref="E14:F14"/>
    <mergeCell ref="A15:B15"/>
    <mergeCell ref="E15:F15"/>
    <mergeCell ref="A16:B16"/>
    <mergeCell ref="E16:F16"/>
    <mergeCell ref="A9:B9"/>
    <mergeCell ref="E9:F9"/>
    <mergeCell ref="E10:F10"/>
    <mergeCell ref="E11:F11"/>
    <mergeCell ref="A13:B13"/>
    <mergeCell ref="E13:F13"/>
    <mergeCell ref="A8:B8"/>
    <mergeCell ref="E8:F8"/>
    <mergeCell ref="B1:G4"/>
    <mergeCell ref="A6:B6"/>
    <mergeCell ref="E6:F6"/>
    <mergeCell ref="A7:B7"/>
    <mergeCell ref="E7:F7"/>
  </mergeCells>
  <pageMargins bottom="0.75" footer="0.3" header="0.3" left="0.7" right="0.7" top="0.75"/>
  <pageSetup paperSize="1" orientation="portrait" scale="69"/>
  <drawing r:id="rId1"/>
</worksheet>
</file>

<file path=xl/worksheets/sheet20.xml><?xml version="1.0" encoding="utf-8"?>
<worksheet xmlns:r="http://schemas.openxmlformats.org/officeDocument/2006/relationships" xmlns="http://schemas.openxmlformats.org/spreadsheetml/2006/main">
  <sheetPr>
    <pageSetUpPr fitToPage="true"/>
  </sheetPr>
  <dimension ref="A1:G41"/>
  <sheetViews>
    <sheetView zoomScale="95" topLeftCell="A1" workbookViewId="0" showGridLines="true" showRowColHeaders="true">
      <selection activeCell="H1" sqref="H1:H1"/>
    </sheetView>
  </sheetViews>
  <sheetFormatPr customHeight="false" defaultColWidth="20.57421875" defaultRowHeight="15"/>
  <cols>
    <col min="1" max="1" bestFit="false" customWidth="true" width="20.421875" hidden="false" outlineLevel="0"/>
    <col min="2" max="2" bestFit="false" customWidth="true" width="15.57421875" hidden="false" outlineLevel="0"/>
    <col min="3" max="3" bestFit="false" customWidth="true" width="20.57421875" hidden="false" outlineLevel="0"/>
    <col min="4" max="4" bestFit="false" customWidth="true" width="10.57421875" hidden="false" outlineLevel="0"/>
    <col min="5" max="6" bestFit="false" customWidth="true" width="15.57421875" hidden="false" outlineLevel="0"/>
    <col min="7" max="7" bestFit="false" customWidth="true" width="31.7109375" hidden="false" outlineLevel="0"/>
  </cols>
  <sheetData>
    <row r="1" ht="21" customHeight="true">
      <c r="B1" s="99" t="s">
        <v>155</v>
      </c>
      <c r="C1" s="99"/>
      <c r="D1" s="99"/>
      <c r="E1" s="99"/>
      <c r="F1" s="99"/>
      <c r="G1" s="99"/>
    </row>
    <row r="2" ht="14.25" customHeight="true">
      <c r="B2" s="100"/>
      <c r="C2" s="100"/>
      <c r="D2" s="100"/>
      <c r="E2" s="100"/>
      <c r="F2" s="100"/>
      <c r="G2" s="100"/>
    </row>
    <row r="3" ht="14.25" customHeight="true">
      <c r="B3" s="100"/>
      <c r="C3" s="100"/>
      <c r="D3" s="100"/>
      <c r="E3" s="100"/>
      <c r="F3" s="100"/>
      <c r="G3" s="100"/>
    </row>
    <row r="4" ht="14.25" customHeight="true">
      <c r="B4" s="100"/>
      <c r="C4" s="100"/>
      <c r="D4" s="100"/>
      <c r="E4" s="100"/>
      <c r="F4" s="100"/>
      <c r="G4" s="100"/>
    </row>
    <row r="6">
      <c r="A6" s="90" t="s">
        <v>130</v>
      </c>
      <c r="B6" s="101"/>
      <c r="C6" s="110" t="s">
        <v>10</v>
      </c>
      <c r="D6" s="117"/>
      <c r="E6" s="90" t="s">
        <v>162</v>
      </c>
      <c r="F6" s="101"/>
      <c r="G6" s="110" t="s">
        <v>208</v>
      </c>
    </row>
    <row r="7">
      <c r="A7" s="91" t="s">
        <v>131</v>
      </c>
      <c r="B7" s="102"/>
      <c r="C7" s="111"/>
      <c r="D7" s="117"/>
      <c r="E7" s="91" t="s">
        <v>163</v>
      </c>
      <c r="F7" s="102"/>
      <c r="G7" s="111"/>
    </row>
    <row r="8">
      <c r="A8" s="91" t="s">
        <v>132</v>
      </c>
      <c r="B8" s="102"/>
      <c r="C8" s="112" t="n">
        <v>921010025870104</v>
      </c>
      <c r="D8" s="118"/>
      <c r="E8" s="91" t="s">
        <v>164</v>
      </c>
      <c r="F8" s="102"/>
      <c r="G8" s="130" t="s">
        <v>210</v>
      </c>
    </row>
    <row r="9">
      <c r="A9" s="92" t="s">
        <v>133</v>
      </c>
      <c r="B9" s="103"/>
      <c r="C9" s="113" t="n">
        <v>46113</v>
      </c>
      <c r="D9" s="117"/>
      <c r="E9" s="91" t="s">
        <v>165</v>
      </c>
      <c r="F9" s="102"/>
      <c r="G9" s="131" t="n">
        <v>23</v>
      </c>
    </row>
    <row r="10">
      <c r="E10" s="122" t="s">
        <v>166</v>
      </c>
      <c r="F10" s="128"/>
      <c r="G10" s="132" t="n">
        <v>25000</v>
      </c>
    </row>
    <row r="11">
      <c r="E11" s="123" t="s">
        <v>167</v>
      </c>
      <c r="F11" s="129"/>
      <c r="G11" s="133" t="n">
        <v>273.97</v>
      </c>
    </row>
    <row r="13">
      <c r="A13" s="93" t="s">
        <v>134</v>
      </c>
      <c r="B13" s="93"/>
      <c r="C13" s="114" t="n">
        <v>17562.85</v>
      </c>
      <c r="E13" s="12" t="s">
        <v>168</v>
      </c>
      <c r="F13" s="12"/>
      <c r="G13" s="98" t="n">
        <v>1800</v>
      </c>
    </row>
    <row r="14">
      <c r="A14" s="93" t="s">
        <v>135</v>
      </c>
      <c r="B14" s="93"/>
      <c r="C14" s="114" t="n">
        <v>7025.14</v>
      </c>
      <c r="D14" s="93"/>
      <c r="E14" s="12" t="s">
        <v>169</v>
      </c>
      <c r="F14" s="12"/>
      <c r="G14" s="108" t="n">
        <v>0</v>
      </c>
    </row>
    <row r="15">
      <c r="A15" s="93" t="s">
        <v>136</v>
      </c>
      <c r="B15" s="93"/>
      <c r="C15" s="114" t="n">
        <v>0</v>
      </c>
      <c r="D15" s="93"/>
      <c r="E15" s="12" t="s">
        <v>170</v>
      </c>
      <c r="F15" s="12"/>
      <c r="G15" s="108" t="n">
        <v>0</v>
      </c>
    </row>
    <row r="16">
      <c r="A16" s="93" t="s">
        <v>137</v>
      </c>
      <c r="B16" s="93"/>
      <c r="C16" s="114" t="n">
        <v>1250</v>
      </c>
      <c r="D16" s="93"/>
      <c r="E16" s="12" t="s">
        <v>171</v>
      </c>
      <c r="F16" s="12"/>
      <c r="G16" s="108" t="n">
        <v>0</v>
      </c>
    </row>
    <row r="17">
      <c r="A17" s="93" t="s">
        <v>138</v>
      </c>
      <c r="B17" s="93"/>
      <c r="C17" s="114" t="n">
        <v>1600</v>
      </c>
      <c r="D17" s="93"/>
      <c r="E17" s="12" t="s">
        <v>172</v>
      </c>
      <c r="F17" s="12"/>
      <c r="G17" s="108" t="n">
        <v>0</v>
      </c>
    </row>
    <row r="18">
      <c r="A18" s="93" t="s">
        <v>139</v>
      </c>
      <c r="B18" s="93"/>
      <c r="C18" s="98" t="n">
        <v>0</v>
      </c>
      <c r="D18" s="93"/>
      <c r="E18" s="12" t="s">
        <v>173</v>
      </c>
      <c r="F18" s="12"/>
      <c r="G18" s="58" t="n">
        <f>SUM(G13:G17)</f>
        <v>1800</v>
      </c>
    </row>
    <row r="19">
      <c r="A19" s="93" t="s">
        <v>140</v>
      </c>
      <c r="B19" s="93"/>
      <c r="C19" s="98" t="n">
        <v>0</v>
      </c>
      <c r="D19" s="93"/>
    </row>
    <row r="20">
      <c r="A20" s="93" t="s">
        <v>141</v>
      </c>
      <c r="B20" s="93"/>
      <c r="C20" s="98" t="n">
        <v>0</v>
      </c>
      <c r="D20" s="93"/>
    </row>
    <row r="21">
      <c r="A21" s="93" t="s">
        <v>142</v>
      </c>
      <c r="B21" s="93"/>
      <c r="C21" s="98" t="n">
        <v>1600</v>
      </c>
      <c r="D21" s="93"/>
      <c r="E21" s="12"/>
      <c r="F21" s="12"/>
    </row>
    <row r="22">
      <c r="A22" s="93" t="s">
        <v>143</v>
      </c>
      <c r="B22" s="93"/>
      <c r="C22" s="98" t="n">
        <v>0</v>
      </c>
      <c r="D22" s="93"/>
      <c r="E22" s="124" t="s">
        <v>38</v>
      </c>
      <c r="F22" s="93"/>
      <c r="G22" s="114" t="n">
        <v>3300</v>
      </c>
    </row>
    <row r="23">
      <c r="A23" s="93" t="s">
        <v>144</v>
      </c>
      <c r="B23" s="93"/>
      <c r="C23" s="98" t="n">
        <v>0</v>
      </c>
      <c r="D23" s="93"/>
      <c r="E23" s="93" t="s">
        <v>174</v>
      </c>
      <c r="F23" s="93"/>
      <c r="G23" s="114" t="n">
        <v>0</v>
      </c>
    </row>
    <row r="24">
      <c r="A24" s="93" t="s">
        <v>145</v>
      </c>
      <c r="B24" s="93"/>
      <c r="C24" s="98" t="n">
        <v>0</v>
      </c>
      <c r="D24" s="93"/>
      <c r="E24" s="12" t="s">
        <v>175</v>
      </c>
      <c r="F24" s="12"/>
      <c r="G24" s="108" t="n">
        <v>0</v>
      </c>
    </row>
    <row r="25">
      <c r="A25" s="93" t="s">
        <v>146</v>
      </c>
      <c r="B25" s="93"/>
      <c r="C25" s="114" t="n">
        <v>6087.7</v>
      </c>
      <c r="D25" s="93"/>
    </row>
    <row r="28">
      <c r="B28" s="104" t="s">
        <v>156</v>
      </c>
      <c r="C28" s="115" t="n">
        <v>35125.69</v>
      </c>
      <c r="D28" s="119"/>
      <c r="E28" s="119"/>
      <c r="F28" s="104" t="s">
        <v>176</v>
      </c>
      <c r="G28" s="115" t="n">
        <f>C28-G18+G22+G23+G24</f>
        <v>36625.69</v>
      </c>
    </row>
    <row r="30">
      <c r="A30" s="94" t="s">
        <v>147</v>
      </c>
      <c r="B30" s="105"/>
      <c r="C30" s="105"/>
      <c r="D30" s="105"/>
      <c r="E30" s="105"/>
      <c r="F30" s="105"/>
      <c r="G30" s="134"/>
    </row>
    <row r="31">
      <c r="A31" s="95" t="s">
        <v>148</v>
      </c>
      <c r="B31" s="106"/>
      <c r="C31" s="47" t="s">
        <v>157</v>
      </c>
      <c r="D31" s="120" t="s">
        <v>158</v>
      </c>
      <c r="E31" s="120"/>
      <c r="F31" s="120"/>
      <c r="G31" s="135"/>
    </row>
    <row r="32">
      <c r="A32" s="96" t="s">
        <v>149</v>
      </c>
      <c r="B32" s="98" t="n">
        <v>11.78</v>
      </c>
      <c r="C32" s="116" t="n">
        <v>0</v>
      </c>
      <c r="D32" s="121" t="s">
        <v>159</v>
      </c>
      <c r="E32" s="125" t="n">
        <v>0</v>
      </c>
      <c r="F32" s="121" t="s">
        <v>177</v>
      </c>
      <c r="G32" s="136" t="n">
        <v>0</v>
      </c>
    </row>
    <row r="33">
      <c r="A33" s="96" t="s">
        <v>150</v>
      </c>
      <c r="B33" s="107" t="n">
        <v>15.41</v>
      </c>
      <c r="C33" s="12"/>
      <c r="D33" s="121" t="s">
        <v>160</v>
      </c>
      <c r="E33" s="126" t="n">
        <v>18</v>
      </c>
      <c r="F33" s="121" t="s">
        <v>178</v>
      </c>
      <c r="G33" s="137" t="n">
        <v>0</v>
      </c>
    </row>
    <row r="34">
      <c r="A34" s="96" t="s">
        <v>151</v>
      </c>
      <c r="B34" s="108" t="n">
        <v>0</v>
      </c>
      <c r="C34" s="116" t="n">
        <v>0</v>
      </c>
      <c r="D34" s="121" t="s">
        <v>161</v>
      </c>
      <c r="E34" s="126" t="n">
        <v>45</v>
      </c>
      <c r="F34" s="121" t="s">
        <v>179</v>
      </c>
      <c r="G34" s="137" t="n">
        <v>63</v>
      </c>
    </row>
    <row r="35">
      <c r="A35" s="96" t="s">
        <v>152</v>
      </c>
      <c r="B35" s="107" t="n">
        <f>B32+B33-B34</f>
        <v>27.19</v>
      </c>
      <c r="C35" s="107" t="n">
        <f>C32-C34</f>
        <v>0</v>
      </c>
      <c r="D35" s="121"/>
      <c r="E35" s="127"/>
      <c r="F35" s="121"/>
      <c r="G35" s="138"/>
    </row>
    <row r="36">
      <c r="A36" s="97"/>
      <c r="B36" s="109"/>
      <c r="C36" s="109"/>
      <c r="D36" s="109"/>
      <c r="E36" s="109"/>
      <c r="F36" s="109"/>
      <c r="G36" s="139"/>
    </row>
    <row r="39">
      <c r="A39" s="98"/>
      <c r="B39" s="98"/>
    </row>
    <row r="40">
      <c r="A40" s="35" t="s">
        <v>153</v>
      </c>
    </row>
    <row r="41">
      <c r="A41" s="35" t="s">
        <v>154</v>
      </c>
    </row>
  </sheetData>
  <mergeCells>
    <mergeCell ref="A31:B31"/>
    <mergeCell ref="D31:G31"/>
    <mergeCell ref="A23:B23"/>
    <mergeCell ref="E23:F23"/>
    <mergeCell ref="A24:B24"/>
    <mergeCell ref="E24:F24"/>
    <mergeCell ref="A25:B25"/>
    <mergeCell ref="A30:G30"/>
    <mergeCell ref="A20:B20"/>
    <mergeCell ref="A21:B21"/>
    <mergeCell ref="E21:F21"/>
    <mergeCell ref="A22:B22"/>
    <mergeCell ref="E22:F22"/>
    <mergeCell ref="E17:F17"/>
    <mergeCell ref="A17:B17"/>
    <mergeCell ref="A18:B18"/>
    <mergeCell ref="E18:F18"/>
    <mergeCell ref="A19:B19"/>
    <mergeCell ref="A14:B14"/>
    <mergeCell ref="E14:F14"/>
    <mergeCell ref="A15:B15"/>
    <mergeCell ref="E15:F15"/>
    <mergeCell ref="A16:B16"/>
    <mergeCell ref="E16:F16"/>
    <mergeCell ref="A9:B9"/>
    <mergeCell ref="E9:F9"/>
    <mergeCell ref="E10:F10"/>
    <mergeCell ref="E11:F11"/>
    <mergeCell ref="A13:B13"/>
    <mergeCell ref="E13:F13"/>
    <mergeCell ref="A8:B8"/>
    <mergeCell ref="E8:F8"/>
    <mergeCell ref="B1:G4"/>
    <mergeCell ref="A6:B6"/>
    <mergeCell ref="E6:F6"/>
    <mergeCell ref="A7:B7"/>
    <mergeCell ref="E7:F7"/>
  </mergeCells>
  <pageMargins bottom="0.75" footer="0.3" header="0.3" left="0.7" right="0.7" top="0.75"/>
  <pageSetup paperSize="1" orientation="portrait" scale="69"/>
  <drawing r:id="rId1"/>
</worksheet>
</file>

<file path=xl/worksheets/sheet21.xml><?xml version="1.0" encoding="utf-8"?>
<worksheet xmlns:r="http://schemas.openxmlformats.org/officeDocument/2006/relationships" xmlns="http://schemas.openxmlformats.org/spreadsheetml/2006/main">
  <sheetPr>
    <pageSetUpPr fitToPage="true"/>
  </sheetPr>
  <dimension ref="A1:G41"/>
  <sheetViews>
    <sheetView zoomScale="95" topLeftCell="A1" workbookViewId="0" showGridLines="true" showRowColHeaders="true">
      <selection activeCell="H1" sqref="H1:H1"/>
    </sheetView>
  </sheetViews>
  <sheetFormatPr customHeight="false" defaultColWidth="20.57421875" defaultRowHeight="15"/>
  <cols>
    <col min="1" max="1" bestFit="false" customWidth="true" width="20.421875" hidden="false" outlineLevel="0"/>
    <col min="2" max="2" bestFit="false" customWidth="true" width="15.57421875" hidden="false" outlineLevel="0"/>
    <col min="3" max="3" bestFit="false" customWidth="true" width="20.57421875" hidden="false" outlineLevel="0"/>
    <col min="4" max="4" bestFit="false" customWidth="true" width="10.57421875" hidden="false" outlineLevel="0"/>
    <col min="5" max="6" bestFit="false" customWidth="true" width="15.57421875" hidden="false" outlineLevel="0"/>
    <col min="7" max="7" bestFit="false" customWidth="true" width="31.7109375" hidden="false" outlineLevel="0"/>
  </cols>
  <sheetData>
    <row r="1" ht="21" customHeight="true">
      <c r="B1" s="99" t="s">
        <v>155</v>
      </c>
      <c r="C1" s="99"/>
      <c r="D1" s="99"/>
      <c r="E1" s="99"/>
      <c r="F1" s="99"/>
      <c r="G1" s="99"/>
    </row>
    <row r="2" ht="14.25" customHeight="true">
      <c r="B2" s="100"/>
      <c r="C2" s="100"/>
      <c r="D2" s="100"/>
      <c r="E2" s="100"/>
      <c r="F2" s="100"/>
      <c r="G2" s="100"/>
    </row>
    <row r="3" ht="14.25" customHeight="true">
      <c r="B3" s="100"/>
      <c r="C3" s="100"/>
      <c r="D3" s="100"/>
      <c r="E3" s="100"/>
      <c r="F3" s="100"/>
      <c r="G3" s="100"/>
    </row>
    <row r="4" ht="14.25" customHeight="true">
      <c r="B4" s="100"/>
      <c r="C4" s="100"/>
      <c r="D4" s="100"/>
      <c r="E4" s="100"/>
      <c r="F4" s="100"/>
      <c r="G4" s="100"/>
    </row>
    <row r="6">
      <c r="A6" s="90" t="s">
        <v>130</v>
      </c>
      <c r="B6" s="101"/>
      <c r="C6" s="110" t="s">
        <v>20</v>
      </c>
      <c r="D6" s="117"/>
      <c r="E6" s="90" t="s">
        <v>162</v>
      </c>
      <c r="F6" s="101"/>
      <c r="G6" s="110" t="s">
        <v>211</v>
      </c>
    </row>
    <row r="7">
      <c r="A7" s="91" t="s">
        <v>131</v>
      </c>
      <c r="B7" s="102"/>
      <c r="C7" s="111"/>
      <c r="D7" s="117"/>
      <c r="E7" s="91" t="s">
        <v>163</v>
      </c>
      <c r="F7" s="102"/>
      <c r="G7" s="111"/>
    </row>
    <row r="8">
      <c r="A8" s="91" t="s">
        <v>132</v>
      </c>
      <c r="B8" s="102"/>
      <c r="C8" s="112" t="n">
        <v>720001500027361</v>
      </c>
      <c r="D8" s="118"/>
      <c r="E8" s="91" t="s">
        <v>164</v>
      </c>
      <c r="F8" s="102"/>
      <c r="G8" s="130" t="s">
        <v>212</v>
      </c>
    </row>
    <row r="9">
      <c r="A9" s="92" t="s">
        <v>133</v>
      </c>
      <c r="B9" s="103"/>
      <c r="C9" s="113" t="n">
        <v>46113</v>
      </c>
      <c r="D9" s="117"/>
      <c r="E9" s="91" t="s">
        <v>165</v>
      </c>
      <c r="F9" s="102"/>
      <c r="G9" s="131" t="n">
        <v>23</v>
      </c>
    </row>
    <row r="10">
      <c r="E10" s="122" t="s">
        <v>166</v>
      </c>
      <c r="F10" s="128"/>
      <c r="G10" s="132" t="n">
        <v>125000</v>
      </c>
    </row>
    <row r="11">
      <c r="E11" s="123" t="s">
        <v>167</v>
      </c>
      <c r="F11" s="129"/>
      <c r="G11" s="133" t="n">
        <v>251.42</v>
      </c>
    </row>
    <row r="13">
      <c r="A13" s="93" t="s">
        <v>134</v>
      </c>
      <c r="B13" s="93"/>
      <c r="C13" s="114" t="n">
        <v>80583.88</v>
      </c>
      <c r="E13" s="12" t="s">
        <v>168</v>
      </c>
      <c r="F13" s="12"/>
      <c r="G13" s="98" t="n">
        <v>0</v>
      </c>
    </row>
    <row r="14">
      <c r="A14" s="93" t="s">
        <v>135</v>
      </c>
      <c r="B14" s="93"/>
      <c r="C14" s="114" t="n">
        <v>32233.55</v>
      </c>
      <c r="D14" s="93"/>
      <c r="E14" s="12" t="s">
        <v>169</v>
      </c>
      <c r="F14" s="12"/>
      <c r="G14" s="108" t="n">
        <v>0</v>
      </c>
    </row>
    <row r="15">
      <c r="A15" s="93" t="s">
        <v>136</v>
      </c>
      <c r="B15" s="93"/>
      <c r="C15" s="114" t="n">
        <v>0</v>
      </c>
      <c r="D15" s="93"/>
      <c r="E15" s="12" t="s">
        <v>170</v>
      </c>
      <c r="F15" s="12"/>
      <c r="G15" s="108" t="n">
        <v>5000</v>
      </c>
    </row>
    <row r="16">
      <c r="A16" s="93" t="s">
        <v>137</v>
      </c>
      <c r="B16" s="93"/>
      <c r="C16" s="114" t="n">
        <v>1250</v>
      </c>
      <c r="D16" s="93"/>
      <c r="E16" s="12" t="s">
        <v>171</v>
      </c>
      <c r="F16" s="12"/>
      <c r="G16" s="108" t="n">
        <v>0</v>
      </c>
    </row>
    <row r="17">
      <c r="A17" s="93" t="s">
        <v>138</v>
      </c>
      <c r="B17" s="93"/>
      <c r="C17" s="114" t="n">
        <v>1600</v>
      </c>
      <c r="D17" s="93"/>
      <c r="E17" s="12" t="s">
        <v>172</v>
      </c>
      <c r="F17" s="12"/>
      <c r="G17" s="108" t="n">
        <v>0</v>
      </c>
    </row>
    <row r="18">
      <c r="A18" s="93" t="s">
        <v>139</v>
      </c>
      <c r="B18" s="93"/>
      <c r="C18" s="98" t="n">
        <v>0</v>
      </c>
      <c r="D18" s="93"/>
      <c r="E18" s="12" t="s">
        <v>173</v>
      </c>
      <c r="F18" s="12"/>
      <c r="G18" s="58" t="n">
        <f>SUM(G13:G17)</f>
        <v>5000</v>
      </c>
    </row>
    <row r="19">
      <c r="A19" s="93" t="s">
        <v>140</v>
      </c>
      <c r="B19" s="93"/>
      <c r="C19" s="98" t="n">
        <v>0</v>
      </c>
      <c r="D19" s="93"/>
    </row>
    <row r="20">
      <c r="A20" s="93" t="s">
        <v>141</v>
      </c>
      <c r="B20" s="93"/>
      <c r="C20" s="98" t="n">
        <v>0</v>
      </c>
      <c r="D20" s="93"/>
    </row>
    <row r="21">
      <c r="A21" s="93" t="s">
        <v>142</v>
      </c>
      <c r="B21" s="93"/>
      <c r="C21" s="98" t="n">
        <v>1600</v>
      </c>
      <c r="D21" s="93"/>
      <c r="E21" s="12"/>
      <c r="F21" s="12"/>
    </row>
    <row r="22">
      <c r="A22" s="93" t="s">
        <v>143</v>
      </c>
      <c r="B22" s="93"/>
      <c r="C22" s="98" t="n">
        <v>0</v>
      </c>
      <c r="D22" s="93"/>
      <c r="E22" s="124" t="s">
        <v>38</v>
      </c>
      <c r="F22" s="93"/>
      <c r="G22" s="114" t="n">
        <v>3300</v>
      </c>
    </row>
    <row r="23">
      <c r="A23" s="93" t="s">
        <v>144</v>
      </c>
      <c r="B23" s="93"/>
      <c r="C23" s="98" t="n">
        <v>0</v>
      </c>
      <c r="D23" s="93"/>
      <c r="E23" s="93" t="s">
        <v>174</v>
      </c>
      <c r="F23" s="93"/>
      <c r="G23" s="114" t="n">
        <v>0</v>
      </c>
    </row>
    <row r="24">
      <c r="A24" s="93" t="s">
        <v>145</v>
      </c>
      <c r="B24" s="93"/>
      <c r="C24" s="98" t="n">
        <v>0</v>
      </c>
      <c r="D24" s="93"/>
      <c r="E24" s="12" t="s">
        <v>175</v>
      </c>
      <c r="F24" s="12"/>
      <c r="G24" s="108" t="n">
        <v>0</v>
      </c>
    </row>
    <row r="25">
      <c r="A25" s="93" t="s">
        <v>146</v>
      </c>
      <c r="B25" s="93"/>
      <c r="C25" s="114" t="n">
        <v>43900.33</v>
      </c>
      <c r="D25" s="93"/>
    </row>
    <row r="28">
      <c r="B28" s="104" t="s">
        <v>156</v>
      </c>
      <c r="C28" s="115" t="n">
        <v>161167.76</v>
      </c>
      <c r="D28" s="119"/>
      <c r="E28" s="119"/>
      <c r="F28" s="104" t="s">
        <v>176</v>
      </c>
      <c r="G28" s="115" t="n">
        <f>C28-G18+G22+G23+G24</f>
        <v>159467.76</v>
      </c>
    </row>
    <row r="30">
      <c r="A30" s="94" t="s">
        <v>147</v>
      </c>
      <c r="B30" s="105"/>
      <c r="C30" s="105"/>
      <c r="D30" s="105"/>
      <c r="E30" s="105"/>
      <c r="F30" s="105"/>
      <c r="G30" s="134"/>
    </row>
    <row r="31">
      <c r="A31" s="95" t="s">
        <v>148</v>
      </c>
      <c r="B31" s="106"/>
      <c r="C31" s="47" t="s">
        <v>157</v>
      </c>
      <c r="D31" s="120" t="s">
        <v>158</v>
      </c>
      <c r="E31" s="120"/>
      <c r="F31" s="120"/>
      <c r="G31" s="135"/>
    </row>
    <row r="32">
      <c r="A32" s="96" t="s">
        <v>149</v>
      </c>
      <c r="B32" s="98" t="n">
        <v>0</v>
      </c>
      <c r="C32" s="116" t="n">
        <v>0</v>
      </c>
      <c r="D32" s="121" t="s">
        <v>159</v>
      </c>
      <c r="E32" s="125" t="n">
        <v>0</v>
      </c>
      <c r="F32" s="121" t="s">
        <v>177</v>
      </c>
      <c r="G32" s="136" t="n">
        <v>0</v>
      </c>
    </row>
    <row r="33">
      <c r="A33" s="96" t="s">
        <v>150</v>
      </c>
      <c r="B33" s="107" t="n">
        <v>0</v>
      </c>
      <c r="C33" s="12"/>
      <c r="D33" s="121" t="s">
        <v>160</v>
      </c>
      <c r="E33" s="126" t="n">
        <v>18</v>
      </c>
      <c r="F33" s="121" t="s">
        <v>178</v>
      </c>
      <c r="G33" s="137" t="n">
        <v>0</v>
      </c>
    </row>
    <row r="34">
      <c r="A34" s="96" t="s">
        <v>151</v>
      </c>
      <c r="B34" s="108" t="n">
        <v>0</v>
      </c>
      <c r="C34" s="116" t="n">
        <v>0</v>
      </c>
      <c r="D34" s="121" t="s">
        <v>161</v>
      </c>
      <c r="E34" s="126" t="n">
        <v>36</v>
      </c>
      <c r="F34" s="121" t="s">
        <v>179</v>
      </c>
      <c r="G34" s="137" t="n">
        <v>63</v>
      </c>
    </row>
    <row r="35">
      <c r="A35" s="96" t="s">
        <v>152</v>
      </c>
      <c r="B35" s="107" t="n">
        <f>B32+B33-B34</f>
        <v>0</v>
      </c>
      <c r="C35" s="107" t="n">
        <f>C32-C34</f>
        <v>0</v>
      </c>
      <c r="D35" s="121"/>
      <c r="E35" s="127"/>
      <c r="F35" s="121"/>
      <c r="G35" s="138"/>
    </row>
    <row r="36">
      <c r="A36" s="97"/>
      <c r="B36" s="109"/>
      <c r="C36" s="109"/>
      <c r="D36" s="109"/>
      <c r="E36" s="109"/>
      <c r="F36" s="109"/>
      <c r="G36" s="139"/>
    </row>
    <row r="39">
      <c r="A39" s="98"/>
      <c r="B39" s="98"/>
    </row>
    <row r="40">
      <c r="A40" s="35" t="s">
        <v>153</v>
      </c>
    </row>
    <row r="41">
      <c r="A41" s="35" t="s">
        <v>154</v>
      </c>
    </row>
  </sheetData>
  <mergeCells>
    <mergeCell ref="A31:B31"/>
    <mergeCell ref="D31:G31"/>
    <mergeCell ref="A23:B23"/>
    <mergeCell ref="E23:F23"/>
    <mergeCell ref="A24:B24"/>
    <mergeCell ref="E24:F24"/>
    <mergeCell ref="A25:B25"/>
    <mergeCell ref="A30:G30"/>
    <mergeCell ref="A20:B20"/>
    <mergeCell ref="A21:B21"/>
    <mergeCell ref="E21:F21"/>
    <mergeCell ref="A22:B22"/>
    <mergeCell ref="E22:F22"/>
    <mergeCell ref="E17:F17"/>
    <mergeCell ref="A17:B17"/>
    <mergeCell ref="A18:B18"/>
    <mergeCell ref="E18:F18"/>
    <mergeCell ref="A19:B19"/>
    <mergeCell ref="A14:B14"/>
    <mergeCell ref="E14:F14"/>
    <mergeCell ref="A15:B15"/>
    <mergeCell ref="E15:F15"/>
    <mergeCell ref="A16:B16"/>
    <mergeCell ref="E16:F16"/>
    <mergeCell ref="A9:B9"/>
    <mergeCell ref="E9:F9"/>
    <mergeCell ref="E10:F10"/>
    <mergeCell ref="E11:F11"/>
    <mergeCell ref="A13:B13"/>
    <mergeCell ref="E13:F13"/>
    <mergeCell ref="A8:B8"/>
    <mergeCell ref="E8:F8"/>
    <mergeCell ref="B1:G4"/>
    <mergeCell ref="A6:B6"/>
    <mergeCell ref="E6:F6"/>
    <mergeCell ref="A7:B7"/>
    <mergeCell ref="E7:F7"/>
  </mergeCells>
  <pageMargins bottom="0.75" footer="0.3" header="0.3" left="0.7" right="0.7" top="0.75"/>
  <pageSetup paperSize="1" orientation="portrait" scale="69"/>
  <drawing r:id="rId1"/>
</worksheet>
</file>

<file path=xl/worksheets/sheet22.xml><?xml version="1.0" encoding="utf-8"?>
<worksheet xmlns:r="http://schemas.openxmlformats.org/officeDocument/2006/relationships" xmlns="http://schemas.openxmlformats.org/spreadsheetml/2006/main">
  <sheetPr>
    <pageSetUpPr fitToPage="true"/>
  </sheetPr>
  <dimension ref="A1:G41"/>
  <sheetViews>
    <sheetView zoomScale="95" topLeftCell="A1" workbookViewId="0" showGridLines="true" showRowColHeaders="true">
      <selection activeCell="H1" sqref="H1:H1"/>
    </sheetView>
  </sheetViews>
  <sheetFormatPr customHeight="false" defaultColWidth="20.57421875" defaultRowHeight="15"/>
  <cols>
    <col min="1" max="1" bestFit="false" customWidth="true" width="20.421875" hidden="false" outlineLevel="0"/>
    <col min="2" max="2" bestFit="false" customWidth="true" width="15.57421875" hidden="false" outlineLevel="0"/>
    <col min="3" max="3" bestFit="false" customWidth="true" width="20.57421875" hidden="false" outlineLevel="0"/>
    <col min="4" max="4" bestFit="false" customWidth="true" width="10.57421875" hidden="false" outlineLevel="0"/>
    <col min="5" max="6" bestFit="false" customWidth="true" width="15.57421875" hidden="false" outlineLevel="0"/>
    <col min="7" max="7" bestFit="false" customWidth="true" width="31.7109375" hidden="false" outlineLevel="0"/>
  </cols>
  <sheetData>
    <row r="1" ht="21" customHeight="true">
      <c r="B1" s="99" t="s">
        <v>155</v>
      </c>
      <c r="C1" s="99"/>
      <c r="D1" s="99"/>
      <c r="E1" s="99"/>
      <c r="F1" s="99"/>
      <c r="G1" s="99"/>
    </row>
    <row r="2" ht="14.25" customHeight="true">
      <c r="B2" s="100"/>
      <c r="C2" s="100"/>
      <c r="D2" s="100"/>
      <c r="E2" s="100"/>
      <c r="F2" s="100"/>
      <c r="G2" s="100"/>
    </row>
    <row r="3" ht="14.25" customHeight="true">
      <c r="B3" s="100"/>
      <c r="C3" s="100"/>
      <c r="D3" s="100"/>
      <c r="E3" s="100"/>
      <c r="F3" s="100"/>
      <c r="G3" s="100"/>
    </row>
    <row r="4" ht="14.25" customHeight="true">
      <c r="B4" s="100"/>
      <c r="C4" s="100"/>
      <c r="D4" s="100"/>
      <c r="E4" s="100"/>
      <c r="F4" s="100"/>
      <c r="G4" s="100"/>
    </row>
    <row r="6">
      <c r="A6" s="90" t="s">
        <v>130</v>
      </c>
      <c r="B6" s="101"/>
      <c r="C6" s="110" t="s">
        <v>4</v>
      </c>
      <c r="D6" s="117"/>
      <c r="E6" s="90" t="s">
        <v>162</v>
      </c>
      <c r="F6" s="101"/>
      <c r="G6" s="110"/>
    </row>
    <row r="7">
      <c r="A7" s="91" t="s">
        <v>131</v>
      </c>
      <c r="B7" s="102"/>
      <c r="C7" s="111"/>
      <c r="D7" s="117"/>
      <c r="E7" s="91" t="s">
        <v>163</v>
      </c>
      <c r="F7" s="102"/>
      <c r="G7" s="111"/>
    </row>
    <row r="8">
      <c r="A8" s="91" t="s">
        <v>132</v>
      </c>
      <c r="B8" s="102"/>
      <c r="C8" s="112" t="n">
        <v>50100171853152</v>
      </c>
      <c r="D8" s="118"/>
      <c r="E8" s="91" t="s">
        <v>164</v>
      </c>
      <c r="F8" s="102"/>
      <c r="G8" s="130" t="s">
        <v>213</v>
      </c>
    </row>
    <row r="9">
      <c r="A9" s="92" t="s">
        <v>133</v>
      </c>
      <c r="B9" s="103"/>
      <c r="C9" s="113" t="n">
        <v>46113</v>
      </c>
      <c r="D9" s="117"/>
      <c r="E9" s="91" t="s">
        <v>165</v>
      </c>
      <c r="F9" s="102"/>
      <c r="G9" s="131" t="n">
        <v>23</v>
      </c>
    </row>
    <row r="10">
      <c r="E10" s="122" t="s">
        <v>166</v>
      </c>
      <c r="F10" s="128"/>
      <c r="G10" s="132" t="n">
        <v>38000</v>
      </c>
    </row>
    <row r="11">
      <c r="E11" s="123" t="s">
        <v>167</v>
      </c>
      <c r="F11" s="129"/>
      <c r="G11" s="133" t="n">
        <v>180</v>
      </c>
    </row>
    <row r="13">
      <c r="A13" s="93" t="s">
        <v>134</v>
      </c>
      <c r="B13" s="93"/>
      <c r="C13" s="114" t="n">
        <v>17538.3</v>
      </c>
      <c r="E13" s="12" t="s">
        <v>168</v>
      </c>
      <c r="F13" s="12"/>
      <c r="G13" s="98" t="n">
        <v>0</v>
      </c>
    </row>
    <row r="14">
      <c r="A14" s="93" t="s">
        <v>135</v>
      </c>
      <c r="B14" s="93"/>
      <c r="C14" s="114" t="n">
        <v>7015.32</v>
      </c>
      <c r="D14" s="93"/>
      <c r="E14" s="12" t="s">
        <v>169</v>
      </c>
      <c r="F14" s="12"/>
      <c r="G14" s="108" t="n">
        <v>0</v>
      </c>
    </row>
    <row r="15">
      <c r="A15" s="93" t="s">
        <v>136</v>
      </c>
      <c r="B15" s="93"/>
      <c r="C15" s="114" t="n">
        <v>0</v>
      </c>
      <c r="D15" s="93"/>
      <c r="E15" s="12" t="s">
        <v>170</v>
      </c>
      <c r="F15" s="12"/>
      <c r="G15" s="108" t="n">
        <v>0</v>
      </c>
    </row>
    <row r="16">
      <c r="A16" s="93" t="s">
        <v>137</v>
      </c>
      <c r="B16" s="93"/>
      <c r="C16" s="114" t="n">
        <v>1250</v>
      </c>
      <c r="D16" s="93"/>
      <c r="E16" s="12" t="s">
        <v>171</v>
      </c>
      <c r="F16" s="12"/>
      <c r="G16" s="108" t="n">
        <v>0</v>
      </c>
    </row>
    <row r="17">
      <c r="A17" s="93" t="s">
        <v>138</v>
      </c>
      <c r="B17" s="93"/>
      <c r="C17" s="114" t="n">
        <v>1600</v>
      </c>
      <c r="D17" s="93"/>
      <c r="E17" s="12" t="s">
        <v>172</v>
      </c>
      <c r="F17" s="12"/>
      <c r="G17" s="108" t="n">
        <v>0</v>
      </c>
    </row>
    <row r="18">
      <c r="A18" s="93" t="s">
        <v>139</v>
      </c>
      <c r="B18" s="93"/>
      <c r="C18" s="98" t="n">
        <v>0</v>
      </c>
      <c r="D18" s="93"/>
      <c r="E18" s="12" t="s">
        <v>173</v>
      </c>
      <c r="F18" s="12"/>
      <c r="G18" s="58" t="n">
        <f>SUM(G13:G17)</f>
        <v>0</v>
      </c>
    </row>
    <row r="19">
      <c r="A19" s="93" t="s">
        <v>140</v>
      </c>
      <c r="B19" s="93"/>
      <c r="C19" s="98" t="n">
        <v>0</v>
      </c>
      <c r="D19" s="93"/>
    </row>
    <row r="20">
      <c r="A20" s="93" t="s">
        <v>141</v>
      </c>
      <c r="B20" s="93"/>
      <c r="C20" s="98" t="n">
        <v>0</v>
      </c>
      <c r="D20" s="93"/>
    </row>
    <row r="21">
      <c r="A21" s="93" t="s">
        <v>142</v>
      </c>
      <c r="B21" s="93"/>
      <c r="C21" s="98" t="n">
        <v>1600</v>
      </c>
      <c r="D21" s="93"/>
      <c r="E21" s="12"/>
      <c r="F21" s="12"/>
    </row>
    <row r="22">
      <c r="A22" s="93" t="s">
        <v>143</v>
      </c>
      <c r="B22" s="93"/>
      <c r="C22" s="98" t="n">
        <v>0</v>
      </c>
      <c r="D22" s="93"/>
      <c r="E22" s="124" t="s">
        <v>38</v>
      </c>
      <c r="F22" s="93"/>
      <c r="G22" s="114" t="n">
        <v>450</v>
      </c>
    </row>
    <row r="23">
      <c r="A23" s="93" t="s">
        <v>144</v>
      </c>
      <c r="B23" s="93"/>
      <c r="C23" s="98" t="n">
        <v>0</v>
      </c>
      <c r="D23" s="93"/>
      <c r="E23" s="93" t="s">
        <v>174</v>
      </c>
      <c r="F23" s="93"/>
      <c r="G23" s="114" t="n">
        <v>0</v>
      </c>
    </row>
    <row r="24">
      <c r="A24" s="93" t="s">
        <v>145</v>
      </c>
      <c r="B24" s="93"/>
      <c r="C24" s="98" t="n">
        <v>0</v>
      </c>
      <c r="D24" s="93"/>
      <c r="E24" s="12" t="s">
        <v>175</v>
      </c>
      <c r="F24" s="12"/>
      <c r="G24" s="108" t="n">
        <v>0</v>
      </c>
    </row>
    <row r="25">
      <c r="A25" s="93" t="s">
        <v>146</v>
      </c>
      <c r="B25" s="93"/>
      <c r="C25" s="114" t="n">
        <v>6072.98</v>
      </c>
      <c r="D25" s="93"/>
    </row>
    <row r="28">
      <c r="B28" s="104" t="s">
        <v>156</v>
      </c>
      <c r="C28" s="115" t="n">
        <v>35076.6</v>
      </c>
      <c r="D28" s="119"/>
      <c r="E28" s="119"/>
      <c r="F28" s="104" t="s">
        <v>176</v>
      </c>
      <c r="G28" s="115" t="n">
        <f>C28-G18+G22+G23+G24</f>
        <v>35526.6</v>
      </c>
    </row>
    <row r="30">
      <c r="A30" s="94" t="s">
        <v>147</v>
      </c>
      <c r="B30" s="105"/>
      <c r="C30" s="105"/>
      <c r="D30" s="105"/>
      <c r="E30" s="105"/>
      <c r="F30" s="105"/>
      <c r="G30" s="134"/>
    </row>
    <row r="31">
      <c r="A31" s="95" t="s">
        <v>148</v>
      </c>
      <c r="B31" s="106"/>
      <c r="C31" s="47" t="s">
        <v>157</v>
      </c>
      <c r="D31" s="120" t="s">
        <v>158</v>
      </c>
      <c r="E31" s="120"/>
      <c r="F31" s="120"/>
      <c r="G31" s="135"/>
    </row>
    <row r="32">
      <c r="A32" s="96" t="s">
        <v>149</v>
      </c>
      <c r="B32" s="98" t="n">
        <v>0</v>
      </c>
      <c r="C32" s="116" t="n">
        <v>0</v>
      </c>
      <c r="D32" s="121" t="s">
        <v>159</v>
      </c>
      <c r="E32" s="125" t="n">
        <v>0</v>
      </c>
      <c r="F32" s="121" t="s">
        <v>177</v>
      </c>
      <c r="G32" s="136" t="n">
        <v>0</v>
      </c>
    </row>
    <row r="33">
      <c r="A33" s="96" t="s">
        <v>150</v>
      </c>
      <c r="B33" s="107" t="n">
        <v>0</v>
      </c>
      <c r="C33" s="12"/>
      <c r="D33" s="121" t="s">
        <v>160</v>
      </c>
      <c r="E33" s="126" t="n">
        <v>18</v>
      </c>
      <c r="F33" s="121" t="s">
        <v>178</v>
      </c>
      <c r="G33" s="137" t="n">
        <v>0</v>
      </c>
    </row>
    <row r="34">
      <c r="A34" s="96" t="s">
        <v>151</v>
      </c>
      <c r="B34" s="108" t="n">
        <v>0</v>
      </c>
      <c r="C34" s="116" t="n">
        <v>0</v>
      </c>
      <c r="D34" s="121" t="s">
        <v>161</v>
      </c>
      <c r="E34" s="126" t="n">
        <v>18</v>
      </c>
      <c r="F34" s="121" t="s">
        <v>179</v>
      </c>
      <c r="G34" s="137" t="n">
        <v>0</v>
      </c>
    </row>
    <row r="35">
      <c r="A35" s="96" t="s">
        <v>152</v>
      </c>
      <c r="B35" s="107" t="n">
        <f>B32+B33-B34</f>
        <v>0</v>
      </c>
      <c r="C35" s="107" t="n">
        <f>C32-C34</f>
        <v>0</v>
      </c>
      <c r="D35" s="121"/>
      <c r="E35" s="127"/>
      <c r="F35" s="121"/>
      <c r="G35" s="138"/>
    </row>
    <row r="36">
      <c r="A36" s="97"/>
      <c r="B36" s="109"/>
      <c r="C36" s="109"/>
      <c r="D36" s="109"/>
      <c r="E36" s="109"/>
      <c r="F36" s="109"/>
      <c r="G36" s="139"/>
    </row>
    <row r="39">
      <c r="A39" s="98"/>
      <c r="B39" s="98"/>
    </row>
    <row r="40">
      <c r="A40" s="35" t="s">
        <v>153</v>
      </c>
    </row>
    <row r="41">
      <c r="A41" s="35" t="s">
        <v>154</v>
      </c>
    </row>
  </sheetData>
  <mergeCells>
    <mergeCell ref="A31:B31"/>
    <mergeCell ref="D31:G31"/>
    <mergeCell ref="A23:B23"/>
    <mergeCell ref="E23:F23"/>
    <mergeCell ref="A24:B24"/>
    <mergeCell ref="E24:F24"/>
    <mergeCell ref="A25:B25"/>
    <mergeCell ref="A30:G30"/>
    <mergeCell ref="A20:B20"/>
    <mergeCell ref="A21:B21"/>
    <mergeCell ref="E21:F21"/>
    <mergeCell ref="A22:B22"/>
    <mergeCell ref="E22:F22"/>
    <mergeCell ref="E17:F17"/>
    <mergeCell ref="A17:B17"/>
    <mergeCell ref="A18:B18"/>
    <mergeCell ref="E18:F18"/>
    <mergeCell ref="A19:B19"/>
    <mergeCell ref="A14:B14"/>
    <mergeCell ref="E14:F14"/>
    <mergeCell ref="A15:B15"/>
    <mergeCell ref="E15:F15"/>
    <mergeCell ref="A16:B16"/>
    <mergeCell ref="E16:F16"/>
    <mergeCell ref="A9:B9"/>
    <mergeCell ref="E9:F9"/>
    <mergeCell ref="E10:F10"/>
    <mergeCell ref="E11:F11"/>
    <mergeCell ref="A13:B13"/>
    <mergeCell ref="E13:F13"/>
    <mergeCell ref="A8:B8"/>
    <mergeCell ref="E8:F8"/>
    <mergeCell ref="B1:G4"/>
    <mergeCell ref="A6:B6"/>
    <mergeCell ref="E6:F6"/>
    <mergeCell ref="A7:B7"/>
    <mergeCell ref="E7:F7"/>
  </mergeCells>
  <pageMargins bottom="0.75" footer="0.3" header="0.3" left="0.7" right="0.7" top="0.75"/>
  <pageSetup paperSize="1" orientation="portrait" scale="69"/>
  <drawing r:id="rId1"/>
</worksheet>
</file>

<file path=xl/worksheets/sheet23.xml><?xml version="1.0" encoding="utf-8"?>
<worksheet xmlns:r="http://schemas.openxmlformats.org/officeDocument/2006/relationships" xmlns="http://schemas.openxmlformats.org/spreadsheetml/2006/main">
  <sheetPr>
    <pageSetUpPr fitToPage="true"/>
  </sheetPr>
  <dimension ref="A1:G41"/>
  <sheetViews>
    <sheetView zoomScale="95" topLeftCell="A1" workbookViewId="0" showGridLines="true" showRowColHeaders="true">
      <selection activeCell="H1" sqref="H1:H1"/>
    </sheetView>
  </sheetViews>
  <sheetFormatPr customHeight="false" defaultColWidth="20.57421875" defaultRowHeight="15"/>
  <cols>
    <col min="1" max="1" bestFit="false" customWidth="true" width="20.421875" hidden="false" outlineLevel="0"/>
    <col min="2" max="2" bestFit="false" customWidth="true" width="15.57421875" hidden="false" outlineLevel="0"/>
    <col min="3" max="3" bestFit="false" customWidth="true" width="20.57421875" hidden="false" outlineLevel="0"/>
    <col min="4" max="4" bestFit="false" customWidth="true" width="10.57421875" hidden="false" outlineLevel="0"/>
    <col min="5" max="6" bestFit="false" customWidth="true" width="15.57421875" hidden="false" outlineLevel="0"/>
    <col min="7" max="7" bestFit="false" customWidth="true" width="31.7109375" hidden="false" outlineLevel="0"/>
  </cols>
  <sheetData>
    <row r="1" ht="21" customHeight="true">
      <c r="B1" s="99" t="s">
        <v>155</v>
      </c>
      <c r="C1" s="99"/>
      <c r="D1" s="99"/>
      <c r="E1" s="99"/>
      <c r="F1" s="99"/>
      <c r="G1" s="99"/>
    </row>
    <row r="2" ht="14.25" customHeight="true">
      <c r="B2" s="100"/>
      <c r="C2" s="100"/>
      <c r="D2" s="100"/>
      <c r="E2" s="100"/>
      <c r="F2" s="100"/>
      <c r="G2" s="100"/>
    </row>
    <row r="3" ht="14.25" customHeight="true">
      <c r="B3" s="100"/>
      <c r="C3" s="100"/>
      <c r="D3" s="100"/>
      <c r="E3" s="100"/>
      <c r="F3" s="100"/>
      <c r="G3" s="100"/>
    </row>
    <row r="4" ht="14.25" customHeight="true">
      <c r="B4" s="100"/>
      <c r="C4" s="100"/>
      <c r="D4" s="100"/>
      <c r="E4" s="100"/>
      <c r="F4" s="100"/>
      <c r="G4" s="100"/>
    </row>
    <row r="6">
      <c r="A6" s="90" t="s">
        <v>130</v>
      </c>
      <c r="B6" s="101"/>
      <c r="C6" s="110" t="s">
        <v>1</v>
      </c>
      <c r="D6" s="117"/>
      <c r="E6" s="90" t="s">
        <v>162</v>
      </c>
      <c r="F6" s="101"/>
      <c r="G6" s="110"/>
    </row>
    <row r="7">
      <c r="A7" s="91" t="s">
        <v>131</v>
      </c>
      <c r="B7" s="102"/>
      <c r="C7" s="111"/>
      <c r="D7" s="117"/>
      <c r="E7" s="91" t="s">
        <v>163</v>
      </c>
      <c r="F7" s="102"/>
      <c r="G7" s="111"/>
    </row>
    <row r="8">
      <c r="A8" s="91" t="s">
        <v>132</v>
      </c>
      <c r="B8" s="102"/>
      <c r="C8" s="112" t="n">
        <v>6112051671</v>
      </c>
      <c r="D8" s="118"/>
      <c r="E8" s="91" t="s">
        <v>164</v>
      </c>
      <c r="F8" s="102"/>
      <c r="G8" s="130" t="s">
        <v>214</v>
      </c>
    </row>
    <row r="9">
      <c r="A9" s="92" t="s">
        <v>133</v>
      </c>
      <c r="B9" s="103"/>
      <c r="C9" s="113" t="n">
        <v>46113</v>
      </c>
      <c r="D9" s="117"/>
      <c r="E9" s="91" t="s">
        <v>165</v>
      </c>
      <c r="F9" s="102"/>
      <c r="G9" s="131" t="n">
        <v>23</v>
      </c>
    </row>
    <row r="10">
      <c r="E10" s="122" t="s">
        <v>166</v>
      </c>
      <c r="F10" s="128"/>
      <c r="G10" s="132" t="n">
        <v>70000</v>
      </c>
    </row>
    <row r="11">
      <c r="E11" s="123" t="s">
        <v>167</v>
      </c>
      <c r="F11" s="129"/>
      <c r="G11" s="133" t="n">
        <v>210.83</v>
      </c>
    </row>
    <row r="13">
      <c r="A13" s="93" t="s">
        <v>134</v>
      </c>
      <c r="B13" s="93"/>
      <c r="C13" s="114" t="n">
        <v>37840.83</v>
      </c>
      <c r="E13" s="12" t="s">
        <v>168</v>
      </c>
      <c r="F13" s="12"/>
      <c r="G13" s="98" t="n">
        <v>0</v>
      </c>
    </row>
    <row r="14">
      <c r="A14" s="93" t="s">
        <v>135</v>
      </c>
      <c r="B14" s="93"/>
      <c r="C14" s="114" t="n">
        <v>15136.33</v>
      </c>
      <c r="D14" s="93"/>
      <c r="E14" s="12" t="s">
        <v>169</v>
      </c>
      <c r="F14" s="12"/>
      <c r="G14" s="108" t="n">
        <v>0</v>
      </c>
    </row>
    <row r="15">
      <c r="A15" s="93" t="s">
        <v>136</v>
      </c>
      <c r="B15" s="93"/>
      <c r="C15" s="114" t="n">
        <v>0</v>
      </c>
      <c r="D15" s="93"/>
      <c r="E15" s="12" t="s">
        <v>170</v>
      </c>
      <c r="F15" s="12"/>
      <c r="G15" s="108" t="n">
        <v>0</v>
      </c>
    </row>
    <row r="16">
      <c r="A16" s="93" t="s">
        <v>137</v>
      </c>
      <c r="B16" s="93"/>
      <c r="C16" s="114" t="n">
        <v>1250</v>
      </c>
      <c r="D16" s="93"/>
      <c r="E16" s="12" t="s">
        <v>171</v>
      </c>
      <c r="F16" s="12"/>
      <c r="G16" s="108" t="n">
        <v>0</v>
      </c>
    </row>
    <row r="17">
      <c r="A17" s="93" t="s">
        <v>138</v>
      </c>
      <c r="B17" s="93"/>
      <c r="C17" s="114" t="n">
        <v>1600</v>
      </c>
      <c r="D17" s="93"/>
      <c r="E17" s="12" t="s">
        <v>172</v>
      </c>
      <c r="F17" s="12"/>
      <c r="G17" s="108" t="n">
        <v>0</v>
      </c>
    </row>
    <row r="18">
      <c r="A18" s="93" t="s">
        <v>139</v>
      </c>
      <c r="B18" s="93"/>
      <c r="C18" s="98" t="n">
        <v>0</v>
      </c>
      <c r="D18" s="93"/>
      <c r="E18" s="12" t="s">
        <v>173</v>
      </c>
      <c r="F18" s="12"/>
      <c r="G18" s="58" t="n">
        <f>SUM(G13:G17)</f>
        <v>0</v>
      </c>
    </row>
    <row r="19">
      <c r="A19" s="93" t="s">
        <v>140</v>
      </c>
      <c r="B19" s="93"/>
      <c r="C19" s="98" t="n">
        <v>0</v>
      </c>
      <c r="D19" s="93"/>
    </row>
    <row r="20">
      <c r="A20" s="93" t="s">
        <v>141</v>
      </c>
      <c r="B20" s="93"/>
      <c r="C20" s="98" t="n">
        <v>0</v>
      </c>
      <c r="D20" s="93"/>
    </row>
    <row r="21">
      <c r="A21" s="93" t="s">
        <v>142</v>
      </c>
      <c r="B21" s="93"/>
      <c r="C21" s="98" t="n">
        <v>1600</v>
      </c>
      <c r="D21" s="93"/>
      <c r="E21" s="12"/>
      <c r="F21" s="12"/>
    </row>
    <row r="22">
      <c r="A22" s="93" t="s">
        <v>143</v>
      </c>
      <c r="B22" s="93"/>
      <c r="C22" s="98" t="n">
        <v>0</v>
      </c>
      <c r="D22" s="93"/>
      <c r="E22" s="124" t="s">
        <v>38</v>
      </c>
      <c r="F22" s="93"/>
      <c r="G22" s="114" t="n">
        <v>300</v>
      </c>
    </row>
    <row r="23">
      <c r="A23" s="93" t="s">
        <v>144</v>
      </c>
      <c r="B23" s="93"/>
      <c r="C23" s="98" t="n">
        <v>0</v>
      </c>
      <c r="D23" s="93"/>
      <c r="E23" s="93" t="s">
        <v>174</v>
      </c>
      <c r="F23" s="93"/>
      <c r="G23" s="114" t="n">
        <v>0</v>
      </c>
    </row>
    <row r="24">
      <c r="A24" s="93" t="s">
        <v>145</v>
      </c>
      <c r="B24" s="93"/>
      <c r="C24" s="98" t="n">
        <v>0</v>
      </c>
      <c r="D24" s="93"/>
      <c r="E24" s="12" t="s">
        <v>175</v>
      </c>
      <c r="F24" s="12"/>
      <c r="G24" s="108" t="n">
        <v>0</v>
      </c>
    </row>
    <row r="25">
      <c r="A25" s="93" t="s">
        <v>146</v>
      </c>
      <c r="B25" s="93"/>
      <c r="C25" s="114" t="n">
        <v>18254.49</v>
      </c>
      <c r="D25" s="93"/>
    </row>
    <row r="28">
      <c r="B28" s="104" t="s">
        <v>156</v>
      </c>
      <c r="C28" s="115" t="n">
        <v>75681.65</v>
      </c>
      <c r="D28" s="119"/>
      <c r="E28" s="119"/>
      <c r="F28" s="104" t="s">
        <v>176</v>
      </c>
      <c r="G28" s="115" t="n">
        <f>C28-G18+G22+G23+G24</f>
        <v>75981.65</v>
      </c>
    </row>
    <row r="30">
      <c r="A30" s="94" t="s">
        <v>147</v>
      </c>
      <c r="B30" s="105"/>
      <c r="C30" s="105"/>
      <c r="D30" s="105"/>
      <c r="E30" s="105"/>
      <c r="F30" s="105"/>
      <c r="G30" s="134"/>
    </row>
    <row r="31">
      <c r="A31" s="95" t="s">
        <v>148</v>
      </c>
      <c r="B31" s="106"/>
      <c r="C31" s="47" t="s">
        <v>157</v>
      </c>
      <c r="D31" s="120" t="s">
        <v>158</v>
      </c>
      <c r="E31" s="120"/>
      <c r="F31" s="120"/>
      <c r="G31" s="135"/>
    </row>
    <row r="32">
      <c r="A32" s="96" t="s">
        <v>149</v>
      </c>
      <c r="B32" s="98" t="n">
        <v>0</v>
      </c>
      <c r="C32" s="116" t="n">
        <v>0</v>
      </c>
      <c r="D32" s="121" t="s">
        <v>159</v>
      </c>
      <c r="E32" s="125" t="n">
        <v>0</v>
      </c>
      <c r="F32" s="121" t="s">
        <v>177</v>
      </c>
      <c r="G32" s="136" t="n">
        <v>0</v>
      </c>
    </row>
    <row r="33">
      <c r="A33" s="96" t="s">
        <v>150</v>
      </c>
      <c r="B33" s="107" t="n">
        <v>0</v>
      </c>
      <c r="C33" s="12"/>
      <c r="D33" s="121" t="s">
        <v>160</v>
      </c>
      <c r="E33" s="126" t="n">
        <v>18</v>
      </c>
      <c r="F33" s="121" t="s">
        <v>178</v>
      </c>
      <c r="G33" s="137" t="n">
        <v>0</v>
      </c>
    </row>
    <row r="34">
      <c r="A34" s="96" t="s">
        <v>151</v>
      </c>
      <c r="B34" s="108" t="n">
        <v>0</v>
      </c>
      <c r="C34" s="116" t="n">
        <v>0</v>
      </c>
      <c r="D34" s="121" t="s">
        <v>161</v>
      </c>
      <c r="E34" s="126" t="n">
        <v>18</v>
      </c>
      <c r="F34" s="121" t="s">
        <v>179</v>
      </c>
      <c r="G34" s="137" t="n">
        <v>0</v>
      </c>
    </row>
    <row r="35">
      <c r="A35" s="96" t="s">
        <v>152</v>
      </c>
      <c r="B35" s="107" t="n">
        <f>B32+B33-B34</f>
        <v>0</v>
      </c>
      <c r="C35" s="107" t="n">
        <f>C32-C34</f>
        <v>0</v>
      </c>
      <c r="D35" s="121"/>
      <c r="E35" s="127"/>
      <c r="F35" s="121"/>
      <c r="G35" s="138"/>
    </row>
    <row r="36">
      <c r="A36" s="97"/>
      <c r="B36" s="109"/>
      <c r="C36" s="109"/>
      <c r="D36" s="109"/>
      <c r="E36" s="109"/>
      <c r="F36" s="109"/>
      <c r="G36" s="139"/>
    </row>
    <row r="39">
      <c r="A39" s="98"/>
      <c r="B39" s="98"/>
    </row>
    <row r="40">
      <c r="A40" s="35" t="s">
        <v>153</v>
      </c>
    </row>
    <row r="41">
      <c r="A41" s="35" t="s">
        <v>154</v>
      </c>
    </row>
  </sheetData>
  <mergeCells>
    <mergeCell ref="A31:B31"/>
    <mergeCell ref="D31:G31"/>
    <mergeCell ref="A23:B23"/>
    <mergeCell ref="E23:F23"/>
    <mergeCell ref="A24:B24"/>
    <mergeCell ref="E24:F24"/>
    <mergeCell ref="A25:B25"/>
    <mergeCell ref="A30:G30"/>
    <mergeCell ref="A20:B20"/>
    <mergeCell ref="A21:B21"/>
    <mergeCell ref="E21:F21"/>
    <mergeCell ref="A22:B22"/>
    <mergeCell ref="E22:F22"/>
    <mergeCell ref="E17:F17"/>
    <mergeCell ref="A17:B17"/>
    <mergeCell ref="A18:B18"/>
    <mergeCell ref="E18:F18"/>
    <mergeCell ref="A19:B19"/>
    <mergeCell ref="A14:B14"/>
    <mergeCell ref="E14:F14"/>
    <mergeCell ref="A15:B15"/>
    <mergeCell ref="E15:F15"/>
    <mergeCell ref="A16:B16"/>
    <mergeCell ref="E16:F16"/>
    <mergeCell ref="A9:B9"/>
    <mergeCell ref="E9:F9"/>
    <mergeCell ref="E10:F10"/>
    <mergeCell ref="E11:F11"/>
    <mergeCell ref="A13:B13"/>
    <mergeCell ref="E13:F13"/>
    <mergeCell ref="A8:B8"/>
    <mergeCell ref="E8:F8"/>
    <mergeCell ref="B1:G4"/>
    <mergeCell ref="A6:B6"/>
    <mergeCell ref="E6:F6"/>
    <mergeCell ref="A7:B7"/>
    <mergeCell ref="E7:F7"/>
  </mergeCells>
  <pageMargins bottom="0.75" footer="0.3" header="0.3" left="0.7" right="0.7" top="0.75"/>
  <pageSetup paperSize="1" orientation="portrait" scale="69"/>
  <drawing r:id="rId1"/>
</worksheet>
</file>

<file path=xl/worksheets/sheet24.xml><?xml version="1.0" encoding="utf-8"?>
<worksheet xmlns:r="http://schemas.openxmlformats.org/officeDocument/2006/relationships" xmlns="http://schemas.openxmlformats.org/spreadsheetml/2006/main">
  <sheetPr>
    <pageSetUpPr fitToPage="true"/>
  </sheetPr>
  <dimension ref="A1:G41"/>
  <sheetViews>
    <sheetView zoomScale="95" topLeftCell="A1" workbookViewId="0" showGridLines="true" showRowColHeaders="true">
      <selection activeCell="H1" sqref="H1:H1"/>
    </sheetView>
  </sheetViews>
  <sheetFormatPr customHeight="false" defaultColWidth="20.57421875" defaultRowHeight="15"/>
  <cols>
    <col min="1" max="1" bestFit="false" customWidth="true" width="20.421875" hidden="false" outlineLevel="0"/>
    <col min="2" max="2" bestFit="false" customWidth="true" width="15.57421875" hidden="false" outlineLevel="0"/>
    <col min="3" max="3" bestFit="false" customWidth="true" width="20.57421875" hidden="false" outlineLevel="0"/>
    <col min="4" max="4" bestFit="false" customWidth="true" width="10.57421875" hidden="false" outlineLevel="0"/>
    <col min="5" max="6" bestFit="false" customWidth="true" width="15.57421875" hidden="false" outlineLevel="0"/>
    <col min="7" max="7" bestFit="false" customWidth="true" width="31.7109375" hidden="false" outlineLevel="0"/>
  </cols>
  <sheetData>
    <row r="1" ht="21" customHeight="true">
      <c r="B1" s="99" t="s">
        <v>155</v>
      </c>
      <c r="C1" s="99"/>
      <c r="D1" s="99"/>
      <c r="E1" s="99"/>
      <c r="F1" s="99"/>
      <c r="G1" s="99"/>
    </row>
    <row r="2" ht="14.25" customHeight="true">
      <c r="B2" s="100"/>
      <c r="C2" s="100"/>
      <c r="D2" s="100"/>
      <c r="E2" s="100"/>
      <c r="F2" s="100"/>
      <c r="G2" s="100"/>
    </row>
    <row r="3" ht="14.25" customHeight="true">
      <c r="B3" s="100"/>
      <c r="C3" s="100"/>
      <c r="D3" s="100"/>
      <c r="E3" s="100"/>
      <c r="F3" s="100"/>
      <c r="G3" s="100"/>
    </row>
    <row r="4" ht="14.25" customHeight="true">
      <c r="B4" s="100"/>
      <c r="C4" s="100"/>
      <c r="D4" s="100"/>
      <c r="E4" s="100"/>
      <c r="F4" s="100"/>
      <c r="G4" s="100"/>
    </row>
    <row r="6">
      <c r="A6" s="90" t="s">
        <v>130</v>
      </c>
      <c r="B6" s="101"/>
      <c r="C6" s="110" t="s">
        <v>15</v>
      </c>
      <c r="D6" s="117"/>
      <c r="E6" s="90" t="s">
        <v>162</v>
      </c>
      <c r="F6" s="101"/>
      <c r="G6" s="110"/>
    </row>
    <row r="7">
      <c r="A7" s="91" t="s">
        <v>131</v>
      </c>
      <c r="B7" s="102"/>
      <c r="C7" s="111"/>
      <c r="D7" s="117"/>
      <c r="E7" s="91" t="s">
        <v>163</v>
      </c>
      <c r="F7" s="102"/>
      <c r="G7" s="111"/>
    </row>
    <row r="8">
      <c r="A8" s="91" t="s">
        <v>132</v>
      </c>
      <c r="B8" s="102"/>
      <c r="C8" s="112" t="n">
        <v>12840100021267</v>
      </c>
      <c r="D8" s="118"/>
      <c r="E8" s="91" t="s">
        <v>164</v>
      </c>
      <c r="F8" s="102"/>
      <c r="G8" s="130" t="s">
        <v>215</v>
      </c>
    </row>
    <row r="9">
      <c r="A9" s="92" t="s">
        <v>133</v>
      </c>
      <c r="B9" s="103"/>
      <c r="C9" s="113" t="n">
        <v>46113</v>
      </c>
      <c r="D9" s="117"/>
      <c r="E9" s="91" t="s">
        <v>165</v>
      </c>
      <c r="F9" s="102"/>
      <c r="G9" s="131" t="n">
        <v>23</v>
      </c>
    </row>
    <row r="10">
      <c r="E10" s="122" t="s">
        <v>166</v>
      </c>
      <c r="F10" s="128"/>
      <c r="G10" s="132" t="n">
        <v>42500</v>
      </c>
    </row>
    <row r="11">
      <c r="E11" s="123" t="s">
        <v>167</v>
      </c>
      <c r="F11" s="129"/>
      <c r="G11" s="133" t="n">
        <v>180</v>
      </c>
    </row>
    <row r="13">
      <c r="A13" s="93" t="s">
        <v>134</v>
      </c>
      <c r="B13" s="93"/>
      <c r="C13" s="114" t="n">
        <v>19615.5</v>
      </c>
      <c r="E13" s="12" t="s">
        <v>168</v>
      </c>
      <c r="F13" s="12"/>
      <c r="G13" s="98" t="n">
        <v>0</v>
      </c>
    </row>
    <row r="14">
      <c r="A14" s="93" t="s">
        <v>135</v>
      </c>
      <c r="B14" s="93"/>
      <c r="C14" s="114" t="n">
        <v>7846.2</v>
      </c>
      <c r="D14" s="93"/>
      <c r="E14" s="12" t="s">
        <v>169</v>
      </c>
      <c r="F14" s="12"/>
      <c r="G14" s="108" t="n">
        <v>0</v>
      </c>
    </row>
    <row r="15">
      <c r="A15" s="93" t="s">
        <v>136</v>
      </c>
      <c r="B15" s="93"/>
      <c r="C15" s="114" t="n">
        <v>0</v>
      </c>
      <c r="D15" s="93"/>
      <c r="E15" s="12" t="s">
        <v>170</v>
      </c>
      <c r="F15" s="12"/>
      <c r="G15" s="108" t="n">
        <v>0</v>
      </c>
    </row>
    <row r="16">
      <c r="A16" s="93" t="s">
        <v>137</v>
      </c>
      <c r="B16" s="93"/>
      <c r="C16" s="114" t="n">
        <v>1250</v>
      </c>
      <c r="D16" s="93"/>
      <c r="E16" s="12" t="s">
        <v>171</v>
      </c>
      <c r="F16" s="12"/>
      <c r="G16" s="108" t="n">
        <v>0</v>
      </c>
    </row>
    <row r="17">
      <c r="A17" s="93" t="s">
        <v>138</v>
      </c>
      <c r="B17" s="93"/>
      <c r="C17" s="114" t="n">
        <v>1600</v>
      </c>
      <c r="D17" s="93"/>
      <c r="E17" s="12" t="s">
        <v>172</v>
      </c>
      <c r="F17" s="12"/>
      <c r="G17" s="108" t="n">
        <v>0</v>
      </c>
    </row>
    <row r="18">
      <c r="A18" s="93" t="s">
        <v>139</v>
      </c>
      <c r="B18" s="93"/>
      <c r="C18" s="98" t="n">
        <v>0</v>
      </c>
      <c r="D18" s="93"/>
      <c r="E18" s="12" t="s">
        <v>173</v>
      </c>
      <c r="F18" s="12"/>
      <c r="G18" s="58" t="n">
        <f>SUM(G13:G17)</f>
        <v>0</v>
      </c>
    </row>
    <row r="19">
      <c r="A19" s="93" t="s">
        <v>140</v>
      </c>
      <c r="B19" s="93"/>
      <c r="C19" s="98" t="n">
        <v>0</v>
      </c>
      <c r="D19" s="93"/>
    </row>
    <row r="20">
      <c r="A20" s="93" t="s">
        <v>141</v>
      </c>
      <c r="B20" s="93"/>
      <c r="C20" s="98" t="n">
        <v>0</v>
      </c>
      <c r="D20" s="93"/>
    </row>
    <row r="21">
      <c r="A21" s="93" t="s">
        <v>142</v>
      </c>
      <c r="B21" s="93"/>
      <c r="C21" s="98" t="n">
        <v>1600</v>
      </c>
      <c r="D21" s="93"/>
      <c r="E21" s="12"/>
      <c r="F21" s="12"/>
    </row>
    <row r="22">
      <c r="A22" s="93" t="s">
        <v>143</v>
      </c>
      <c r="B22" s="93"/>
      <c r="C22" s="98" t="n">
        <v>0</v>
      </c>
      <c r="D22" s="93"/>
      <c r="E22" s="124" t="s">
        <v>38</v>
      </c>
      <c r="F22" s="93"/>
      <c r="G22" s="114" t="n">
        <v>3000</v>
      </c>
    </row>
    <row r="23">
      <c r="A23" s="93" t="s">
        <v>144</v>
      </c>
      <c r="B23" s="93"/>
      <c r="C23" s="98" t="n">
        <v>0</v>
      </c>
      <c r="D23" s="93"/>
      <c r="E23" s="93" t="s">
        <v>174</v>
      </c>
      <c r="F23" s="93"/>
      <c r="G23" s="114" t="n">
        <v>0</v>
      </c>
    </row>
    <row r="24">
      <c r="A24" s="93" t="s">
        <v>145</v>
      </c>
      <c r="B24" s="93"/>
      <c r="C24" s="98" t="n">
        <v>0</v>
      </c>
      <c r="D24" s="93"/>
      <c r="E24" s="12" t="s">
        <v>175</v>
      </c>
      <c r="F24" s="12"/>
      <c r="G24" s="108" t="n">
        <v>0</v>
      </c>
    </row>
    <row r="25">
      <c r="A25" s="93" t="s">
        <v>146</v>
      </c>
      <c r="B25" s="93"/>
      <c r="C25" s="114" t="n">
        <v>7319.3</v>
      </c>
      <c r="D25" s="93"/>
    </row>
    <row r="28">
      <c r="B28" s="104" t="s">
        <v>156</v>
      </c>
      <c r="C28" s="115" t="n">
        <v>39231</v>
      </c>
      <c r="D28" s="119"/>
      <c r="E28" s="119"/>
      <c r="F28" s="104" t="s">
        <v>176</v>
      </c>
      <c r="G28" s="115" t="n">
        <f>C28-G18+G22+G23+G24</f>
        <v>42231</v>
      </c>
    </row>
    <row r="30">
      <c r="A30" s="94" t="s">
        <v>147</v>
      </c>
      <c r="B30" s="105"/>
      <c r="C30" s="105"/>
      <c r="D30" s="105"/>
      <c r="E30" s="105"/>
      <c r="F30" s="105"/>
      <c r="G30" s="134"/>
    </row>
    <row r="31">
      <c r="A31" s="95" t="s">
        <v>148</v>
      </c>
      <c r="B31" s="106"/>
      <c r="C31" s="47" t="s">
        <v>157</v>
      </c>
      <c r="D31" s="120" t="s">
        <v>158</v>
      </c>
      <c r="E31" s="120"/>
      <c r="F31" s="120"/>
      <c r="G31" s="135"/>
    </row>
    <row r="32">
      <c r="A32" s="96" t="s">
        <v>149</v>
      </c>
      <c r="B32" s="98" t="n">
        <v>0</v>
      </c>
      <c r="C32" s="116" t="n">
        <v>0</v>
      </c>
      <c r="D32" s="121" t="s">
        <v>159</v>
      </c>
      <c r="E32" s="125" t="n">
        <v>0</v>
      </c>
      <c r="F32" s="121" t="s">
        <v>177</v>
      </c>
      <c r="G32" s="136" t="n">
        <v>0</v>
      </c>
    </row>
    <row r="33">
      <c r="A33" s="96" t="s">
        <v>150</v>
      </c>
      <c r="B33" s="107" t="n">
        <v>0</v>
      </c>
      <c r="C33" s="12"/>
      <c r="D33" s="121" t="s">
        <v>160</v>
      </c>
      <c r="E33" s="126" t="n">
        <v>18</v>
      </c>
      <c r="F33" s="121" t="s">
        <v>178</v>
      </c>
      <c r="G33" s="137" t="n">
        <v>0</v>
      </c>
    </row>
    <row r="34">
      <c r="A34" s="96" t="s">
        <v>151</v>
      </c>
      <c r="B34" s="108" t="n">
        <v>0</v>
      </c>
      <c r="C34" s="116" t="n">
        <v>0</v>
      </c>
      <c r="D34" s="121" t="s">
        <v>161</v>
      </c>
      <c r="E34" s="126" t="n">
        <v>18</v>
      </c>
      <c r="F34" s="121" t="s">
        <v>179</v>
      </c>
      <c r="G34" s="137" t="n">
        <v>0</v>
      </c>
    </row>
    <row r="35">
      <c r="A35" s="96" t="s">
        <v>152</v>
      </c>
      <c r="B35" s="107" t="n">
        <f>B32+B33-B34</f>
        <v>0</v>
      </c>
      <c r="C35" s="107" t="n">
        <f>C32-C34</f>
        <v>0</v>
      </c>
      <c r="D35" s="121"/>
      <c r="E35" s="127"/>
      <c r="F35" s="121"/>
      <c r="G35" s="138"/>
    </row>
    <row r="36">
      <c r="A36" s="97"/>
      <c r="B36" s="109"/>
      <c r="C36" s="109"/>
      <c r="D36" s="109"/>
      <c r="E36" s="109"/>
      <c r="F36" s="109"/>
      <c r="G36" s="139"/>
    </row>
    <row r="39">
      <c r="A39" s="98"/>
      <c r="B39" s="98"/>
    </row>
    <row r="40">
      <c r="A40" s="35" t="s">
        <v>153</v>
      </c>
    </row>
    <row r="41">
      <c r="A41" s="35" t="s">
        <v>154</v>
      </c>
    </row>
  </sheetData>
  <mergeCells>
    <mergeCell ref="A31:B31"/>
    <mergeCell ref="D31:G31"/>
    <mergeCell ref="A23:B23"/>
    <mergeCell ref="E23:F23"/>
    <mergeCell ref="A24:B24"/>
    <mergeCell ref="E24:F24"/>
    <mergeCell ref="A25:B25"/>
    <mergeCell ref="A30:G30"/>
    <mergeCell ref="A20:B20"/>
    <mergeCell ref="A21:B21"/>
    <mergeCell ref="E21:F21"/>
    <mergeCell ref="A22:B22"/>
    <mergeCell ref="E22:F22"/>
    <mergeCell ref="E17:F17"/>
    <mergeCell ref="A17:B17"/>
    <mergeCell ref="A18:B18"/>
    <mergeCell ref="E18:F18"/>
    <mergeCell ref="A19:B19"/>
    <mergeCell ref="A14:B14"/>
    <mergeCell ref="E14:F14"/>
    <mergeCell ref="A15:B15"/>
    <mergeCell ref="E15:F15"/>
    <mergeCell ref="A16:B16"/>
    <mergeCell ref="E16:F16"/>
    <mergeCell ref="A9:B9"/>
    <mergeCell ref="E9:F9"/>
    <mergeCell ref="E10:F10"/>
    <mergeCell ref="E11:F11"/>
    <mergeCell ref="A13:B13"/>
    <mergeCell ref="E13:F13"/>
    <mergeCell ref="A8:B8"/>
    <mergeCell ref="E8:F8"/>
    <mergeCell ref="B1:G4"/>
    <mergeCell ref="A6:B6"/>
    <mergeCell ref="E6:F6"/>
    <mergeCell ref="A7:B7"/>
    <mergeCell ref="E7:F7"/>
  </mergeCells>
  <pageMargins bottom="0.75" footer="0.3" header="0.3" left="0.7" right="0.7" top="0.75"/>
  <pageSetup paperSize="1" orientation="portrait" scale="69"/>
  <drawing r:id="rId1"/>
</worksheet>
</file>

<file path=xl/worksheets/sheet25.xml><?xml version="1.0" encoding="utf-8"?>
<worksheet xmlns:r="http://schemas.openxmlformats.org/officeDocument/2006/relationships" xmlns="http://schemas.openxmlformats.org/spreadsheetml/2006/main">
  <sheetPr>
    <pageSetUpPr fitToPage="true"/>
  </sheetPr>
  <dimension ref="A1:G41"/>
  <sheetViews>
    <sheetView zoomScale="95" topLeftCell="A1" workbookViewId="0" showGridLines="true" showRowColHeaders="true">
      <selection activeCell="H1" sqref="H1:H1"/>
    </sheetView>
  </sheetViews>
  <sheetFormatPr customHeight="false" defaultColWidth="20.57421875" defaultRowHeight="15"/>
  <cols>
    <col min="1" max="1" bestFit="false" customWidth="true" width="20.421875" hidden="false" outlineLevel="0"/>
    <col min="2" max="2" bestFit="false" customWidth="true" width="15.57421875" hidden="false" outlineLevel="0"/>
    <col min="3" max="3" bestFit="false" customWidth="true" width="20.57421875" hidden="false" outlineLevel="0"/>
    <col min="4" max="4" bestFit="false" customWidth="true" width="10.57421875" hidden="false" outlineLevel="0"/>
    <col min="5" max="6" bestFit="false" customWidth="true" width="15.57421875" hidden="false" outlineLevel="0"/>
    <col min="7" max="7" bestFit="false" customWidth="true" width="31.7109375" hidden="false" outlineLevel="0"/>
  </cols>
  <sheetData>
    <row r="1" ht="21" customHeight="true">
      <c r="B1" s="99" t="s">
        <v>155</v>
      </c>
      <c r="C1" s="99"/>
      <c r="D1" s="99"/>
      <c r="E1" s="99"/>
      <c r="F1" s="99"/>
      <c r="G1" s="99"/>
    </row>
    <row r="2" ht="14.25" customHeight="true">
      <c r="B2" s="100"/>
      <c r="C2" s="100"/>
      <c r="D2" s="100"/>
      <c r="E2" s="100"/>
      <c r="F2" s="100"/>
      <c r="G2" s="100"/>
    </row>
    <row r="3" ht="14.25" customHeight="true">
      <c r="B3" s="100"/>
      <c r="C3" s="100"/>
      <c r="D3" s="100"/>
      <c r="E3" s="100"/>
      <c r="F3" s="100"/>
      <c r="G3" s="100"/>
    </row>
    <row r="4" ht="14.25" customHeight="true">
      <c r="B4" s="100"/>
      <c r="C4" s="100"/>
      <c r="D4" s="100"/>
      <c r="E4" s="100"/>
      <c r="F4" s="100"/>
      <c r="G4" s="100"/>
    </row>
    <row r="6">
      <c r="A6" s="90" t="s">
        <v>130</v>
      </c>
      <c r="B6" s="101"/>
      <c r="C6" s="110" t="s">
        <v>5</v>
      </c>
      <c r="D6" s="117"/>
      <c r="E6" s="90" t="s">
        <v>162</v>
      </c>
      <c r="F6" s="101"/>
      <c r="G6" s="110"/>
    </row>
    <row r="7">
      <c r="A7" s="91" t="s">
        <v>131</v>
      </c>
      <c r="B7" s="102"/>
      <c r="C7" s="111"/>
      <c r="D7" s="117"/>
      <c r="E7" s="91" t="s">
        <v>163</v>
      </c>
      <c r="F7" s="102"/>
      <c r="G7" s="111"/>
    </row>
    <row r="8">
      <c r="A8" s="91" t="s">
        <v>132</v>
      </c>
      <c r="B8" s="102"/>
      <c r="C8" s="112" t="n">
        <v>24701529488</v>
      </c>
      <c r="D8" s="118"/>
      <c r="E8" s="91" t="s">
        <v>164</v>
      </c>
      <c r="F8" s="102"/>
      <c r="G8" s="130" t="s">
        <v>216</v>
      </c>
    </row>
    <row r="9">
      <c r="A9" s="92" t="s">
        <v>133</v>
      </c>
      <c r="B9" s="103"/>
      <c r="C9" s="113" t="n">
        <v>46113</v>
      </c>
      <c r="D9" s="117"/>
      <c r="E9" s="91" t="s">
        <v>165</v>
      </c>
      <c r="F9" s="102"/>
      <c r="G9" s="131" t="n">
        <v>23</v>
      </c>
    </row>
    <row r="10">
      <c r="E10" s="122" t="s">
        <v>166</v>
      </c>
      <c r="F10" s="128"/>
      <c r="G10" s="132" t="n">
        <v>50000</v>
      </c>
    </row>
    <row r="11">
      <c r="E11" s="123" t="s">
        <v>167</v>
      </c>
      <c r="F11" s="129"/>
      <c r="G11" s="133" t="n">
        <v>132.49</v>
      </c>
    </row>
    <row r="13">
      <c r="A13" s="93" t="s">
        <v>134</v>
      </c>
      <c r="B13" s="93"/>
      <c r="C13" s="114" t="n">
        <v>16985.88</v>
      </c>
      <c r="E13" s="12" t="s">
        <v>168</v>
      </c>
      <c r="F13" s="12"/>
      <c r="G13" s="98" t="n">
        <v>0</v>
      </c>
    </row>
    <row r="14">
      <c r="A14" s="93" t="s">
        <v>135</v>
      </c>
      <c r="B14" s="93"/>
      <c r="C14" s="114" t="n">
        <v>6794.35</v>
      </c>
      <c r="D14" s="93"/>
      <c r="E14" s="12" t="s">
        <v>169</v>
      </c>
      <c r="F14" s="12"/>
      <c r="G14" s="108" t="n">
        <v>0</v>
      </c>
    </row>
    <row r="15">
      <c r="A15" s="93" t="s">
        <v>136</v>
      </c>
      <c r="B15" s="93"/>
      <c r="C15" s="114" t="n">
        <v>0</v>
      </c>
      <c r="D15" s="93"/>
      <c r="E15" s="12" t="s">
        <v>170</v>
      </c>
      <c r="F15" s="12"/>
      <c r="G15" s="108" t="n">
        <v>0</v>
      </c>
    </row>
    <row r="16">
      <c r="A16" s="93" t="s">
        <v>137</v>
      </c>
      <c r="B16" s="93"/>
      <c r="C16" s="114" t="n">
        <v>1250</v>
      </c>
      <c r="D16" s="93"/>
      <c r="E16" s="12" t="s">
        <v>171</v>
      </c>
      <c r="F16" s="12"/>
      <c r="G16" s="108" t="n">
        <v>0</v>
      </c>
    </row>
    <row r="17">
      <c r="A17" s="93" t="s">
        <v>138</v>
      </c>
      <c r="B17" s="93"/>
      <c r="C17" s="114" t="n">
        <v>1600</v>
      </c>
      <c r="D17" s="93"/>
      <c r="E17" s="12" t="s">
        <v>172</v>
      </c>
      <c r="F17" s="12"/>
      <c r="G17" s="108" t="n">
        <v>0</v>
      </c>
    </row>
    <row r="18">
      <c r="A18" s="93" t="s">
        <v>139</v>
      </c>
      <c r="B18" s="93"/>
      <c r="C18" s="98" t="n">
        <v>0</v>
      </c>
      <c r="D18" s="93"/>
      <c r="E18" s="12" t="s">
        <v>173</v>
      </c>
      <c r="F18" s="12"/>
      <c r="G18" s="58" t="n">
        <f>SUM(G13:G17)</f>
        <v>0</v>
      </c>
    </row>
    <row r="19">
      <c r="A19" s="93" t="s">
        <v>140</v>
      </c>
      <c r="B19" s="93"/>
      <c r="C19" s="98" t="n">
        <v>0</v>
      </c>
      <c r="D19" s="93"/>
    </row>
    <row r="20">
      <c r="A20" s="93" t="s">
        <v>141</v>
      </c>
      <c r="B20" s="93"/>
      <c r="C20" s="98" t="n">
        <v>0</v>
      </c>
      <c r="D20" s="93"/>
    </row>
    <row r="21">
      <c r="A21" s="93" t="s">
        <v>142</v>
      </c>
      <c r="B21" s="93"/>
      <c r="C21" s="98" t="n">
        <v>1600</v>
      </c>
      <c r="D21" s="93"/>
      <c r="E21" s="12"/>
      <c r="F21" s="12"/>
    </row>
    <row r="22">
      <c r="A22" s="93" t="s">
        <v>143</v>
      </c>
      <c r="B22" s="93"/>
      <c r="C22" s="98" t="n">
        <v>0</v>
      </c>
      <c r="D22" s="93"/>
      <c r="E22" s="124" t="s">
        <v>38</v>
      </c>
      <c r="F22" s="93"/>
      <c r="G22" s="114" t="n">
        <v>0</v>
      </c>
    </row>
    <row r="23">
      <c r="A23" s="93" t="s">
        <v>144</v>
      </c>
      <c r="B23" s="93"/>
      <c r="C23" s="98" t="n">
        <v>0</v>
      </c>
      <c r="D23" s="93"/>
      <c r="E23" s="93" t="s">
        <v>174</v>
      </c>
      <c r="F23" s="93"/>
      <c r="G23" s="114" t="n">
        <v>0</v>
      </c>
    </row>
    <row r="24">
      <c r="A24" s="93" t="s">
        <v>145</v>
      </c>
      <c r="B24" s="93"/>
      <c r="C24" s="98" t="n">
        <v>0</v>
      </c>
      <c r="D24" s="93"/>
      <c r="E24" s="12" t="s">
        <v>175</v>
      </c>
      <c r="F24" s="12"/>
      <c r="G24" s="108" t="n">
        <v>0</v>
      </c>
    </row>
    <row r="25">
      <c r="A25" s="93" t="s">
        <v>146</v>
      </c>
      <c r="B25" s="93"/>
      <c r="C25" s="114" t="n">
        <v>5741.53</v>
      </c>
      <c r="D25" s="93"/>
    </row>
    <row r="28">
      <c r="B28" s="104" t="s">
        <v>156</v>
      </c>
      <c r="C28" s="115" t="n">
        <v>33971.76</v>
      </c>
      <c r="D28" s="119"/>
      <c r="E28" s="119"/>
      <c r="F28" s="104" t="s">
        <v>176</v>
      </c>
      <c r="G28" s="115" t="n">
        <f>C28-G18+G22+G23+G24</f>
        <v>33971.76</v>
      </c>
    </row>
    <row r="30">
      <c r="A30" s="94" t="s">
        <v>147</v>
      </c>
      <c r="B30" s="105"/>
      <c r="C30" s="105"/>
      <c r="D30" s="105"/>
      <c r="E30" s="105"/>
      <c r="F30" s="105"/>
      <c r="G30" s="134"/>
    </row>
    <row r="31">
      <c r="A31" s="95" t="s">
        <v>148</v>
      </c>
      <c r="B31" s="106"/>
      <c r="C31" s="47" t="s">
        <v>157</v>
      </c>
      <c r="D31" s="120" t="s">
        <v>158</v>
      </c>
      <c r="E31" s="120"/>
      <c r="F31" s="120"/>
      <c r="G31" s="135"/>
    </row>
    <row r="32">
      <c r="A32" s="96" t="s">
        <v>149</v>
      </c>
      <c r="B32" s="98" t="n">
        <v>0</v>
      </c>
      <c r="C32" s="116" t="n">
        <v>0</v>
      </c>
      <c r="D32" s="121" t="s">
        <v>159</v>
      </c>
      <c r="E32" s="125" t="n">
        <v>0</v>
      </c>
      <c r="F32" s="121" t="s">
        <v>177</v>
      </c>
      <c r="G32" s="136" t="n">
        <v>0</v>
      </c>
    </row>
    <row r="33">
      <c r="A33" s="96" t="s">
        <v>150</v>
      </c>
      <c r="B33" s="107" t="n">
        <v>0</v>
      </c>
      <c r="C33" s="12"/>
      <c r="D33" s="121" t="s">
        <v>160</v>
      </c>
      <c r="E33" s="126" t="n">
        <v>0</v>
      </c>
      <c r="F33" s="121" t="s">
        <v>178</v>
      </c>
      <c r="G33" s="137" t="n">
        <v>0</v>
      </c>
    </row>
    <row r="34">
      <c r="A34" s="96" t="s">
        <v>151</v>
      </c>
      <c r="B34" s="108" t="n">
        <v>0</v>
      </c>
      <c r="C34" s="116" t="n">
        <v>0</v>
      </c>
      <c r="D34" s="121" t="s">
        <v>161</v>
      </c>
      <c r="E34" s="126" t="n">
        <v>0</v>
      </c>
      <c r="F34" s="121" t="s">
        <v>179</v>
      </c>
      <c r="G34" s="137" t="n">
        <v>0</v>
      </c>
    </row>
    <row r="35">
      <c r="A35" s="96" t="s">
        <v>152</v>
      </c>
      <c r="B35" s="107" t="n">
        <f>B32+B33-B34</f>
        <v>0</v>
      </c>
      <c r="C35" s="107" t="n">
        <f>C32-C34</f>
        <v>0</v>
      </c>
      <c r="D35" s="121"/>
      <c r="E35" s="127"/>
      <c r="F35" s="121"/>
      <c r="G35" s="138"/>
    </row>
    <row r="36">
      <c r="A36" s="97"/>
      <c r="B36" s="109"/>
      <c r="C36" s="109"/>
      <c r="D36" s="109"/>
      <c r="E36" s="109"/>
      <c r="F36" s="109"/>
      <c r="G36" s="139"/>
    </row>
    <row r="39">
      <c r="A39" s="98"/>
      <c r="B39" s="98"/>
    </row>
    <row r="40">
      <c r="A40" s="35" t="s">
        <v>153</v>
      </c>
    </row>
    <row r="41">
      <c r="A41" s="35" t="s">
        <v>154</v>
      </c>
    </row>
  </sheetData>
  <mergeCells>
    <mergeCell ref="A31:B31"/>
    <mergeCell ref="D31:G31"/>
    <mergeCell ref="A23:B23"/>
    <mergeCell ref="E23:F23"/>
    <mergeCell ref="A24:B24"/>
    <mergeCell ref="E24:F24"/>
    <mergeCell ref="A25:B25"/>
    <mergeCell ref="A30:G30"/>
    <mergeCell ref="A20:B20"/>
    <mergeCell ref="A21:B21"/>
    <mergeCell ref="E21:F21"/>
    <mergeCell ref="A22:B22"/>
    <mergeCell ref="E22:F22"/>
    <mergeCell ref="E17:F17"/>
    <mergeCell ref="A17:B17"/>
    <mergeCell ref="A18:B18"/>
    <mergeCell ref="E18:F18"/>
    <mergeCell ref="A19:B19"/>
    <mergeCell ref="A14:B14"/>
    <mergeCell ref="E14:F14"/>
    <mergeCell ref="A15:B15"/>
    <mergeCell ref="E15:F15"/>
    <mergeCell ref="A16:B16"/>
    <mergeCell ref="E16:F16"/>
    <mergeCell ref="A9:B9"/>
    <mergeCell ref="E9:F9"/>
    <mergeCell ref="E10:F10"/>
    <mergeCell ref="E11:F11"/>
    <mergeCell ref="A13:B13"/>
    <mergeCell ref="E13:F13"/>
    <mergeCell ref="A8:B8"/>
    <mergeCell ref="E8:F8"/>
    <mergeCell ref="B1:G4"/>
    <mergeCell ref="A6:B6"/>
    <mergeCell ref="E6:F6"/>
    <mergeCell ref="A7:B7"/>
    <mergeCell ref="E7:F7"/>
  </mergeCells>
  <pageMargins bottom="0.75" footer="0.3" header="0.3" left="0.7" right="0.7" top="0.75"/>
  <pageSetup paperSize="1" orientation="portrait" scale="69"/>
  <drawing r:id="rId1"/>
</worksheet>
</file>