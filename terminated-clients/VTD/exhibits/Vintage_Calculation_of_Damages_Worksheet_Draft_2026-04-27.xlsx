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lahanlaw0-my.sharepoint.com/personal/fdunn_callahan-law_com/Documents/Desktop/FTD_Drive/Technijian/"/>
    </mc:Choice>
  </mc:AlternateContent>
  <xr:revisionPtr revIDLastSave="53" documentId="14_{C6C050E1-55DA-4E88-A1E6-40FD2259BC52}" xr6:coauthVersionLast="47" xr6:coauthVersionMax="47" xr10:uidLastSave="{3DFEFB34-E9BD-4A0B-B720-FF69FDE7702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Sheet1!$A$1:$Q$110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2" i="1" l="1"/>
  <c r="G122" i="1"/>
  <c r="H100" i="1"/>
  <c r="H97" i="1"/>
  <c r="G93" i="1"/>
  <c r="F94" i="1"/>
  <c r="F93" i="1"/>
  <c r="F95" i="1"/>
  <c r="F97" i="1" s="1"/>
  <c r="G114" i="1"/>
  <c r="G113" i="1"/>
  <c r="F114" i="1"/>
  <c r="P78" i="1"/>
  <c r="F115" i="1" s="1"/>
  <c r="F117" i="1" s="1"/>
  <c r="F113" i="1"/>
  <c r="G115" i="1"/>
  <c r="G117" i="1" s="1"/>
  <c r="I30" i="1"/>
  <c r="I107" i="1"/>
  <c r="I105" i="1"/>
  <c r="G104" i="1"/>
  <c r="G103" i="1"/>
  <c r="F104" i="1"/>
  <c r="F103" i="1"/>
  <c r="F105" i="1"/>
  <c r="F107" i="1" s="1"/>
  <c r="I89" i="1"/>
  <c r="I88" i="1"/>
  <c r="I90" i="1" s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59" i="1"/>
  <c r="I58" i="1"/>
  <c r="I60" i="1" s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P86" i="1"/>
  <c r="O86" i="1"/>
  <c r="P80" i="1"/>
  <c r="O80" i="1"/>
  <c r="P77" i="1"/>
  <c r="O79" i="1"/>
  <c r="O78" i="1"/>
  <c r="O77" i="1"/>
  <c r="P56" i="1"/>
  <c r="P55" i="1"/>
  <c r="P54" i="1"/>
  <c r="P57" i="1"/>
  <c r="O51" i="1"/>
  <c r="P50" i="1"/>
  <c r="Q50" i="1" s="1"/>
  <c r="P49" i="1"/>
  <c r="Q49" i="1" s="1"/>
  <c r="P48" i="1"/>
  <c r="Q48" i="1" s="1"/>
  <c r="Q51" i="1" s="1"/>
  <c r="O56" i="1"/>
  <c r="Q56" i="1" s="1"/>
  <c r="O50" i="1"/>
  <c r="O55" i="1"/>
  <c r="O49" i="1"/>
  <c r="O54" i="1"/>
  <c r="O48" i="1"/>
  <c r="P85" i="1"/>
  <c r="O85" i="1"/>
  <c r="P84" i="1"/>
  <c r="O84" i="1"/>
  <c r="Q84" i="1" s="1"/>
  <c r="P83" i="1"/>
  <c r="O83" i="1"/>
  <c r="P79" i="1"/>
  <c r="Q79" i="1" s="1"/>
  <c r="Q77" i="1"/>
  <c r="Q55" i="1"/>
  <c r="Q54" i="1"/>
  <c r="O19" i="1"/>
  <c r="O20" i="1" s="1"/>
  <c r="O25" i="1"/>
  <c r="P19" i="1"/>
  <c r="P20" i="1" s="1"/>
  <c r="P18" i="1"/>
  <c r="P17" i="1"/>
  <c r="O18" i="1"/>
  <c r="O17" i="1"/>
  <c r="O23" i="1"/>
  <c r="Q18" i="1"/>
  <c r="N9" i="1"/>
  <c r="N10" i="1" s="1"/>
  <c r="N6" i="1"/>
  <c r="N7" i="1" s="1"/>
  <c r="G94" i="1"/>
  <c r="G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90" i="1" s="1"/>
  <c r="G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30" i="1" s="1"/>
  <c r="N45" i="1"/>
  <c r="N44" i="1"/>
  <c r="N41" i="1"/>
  <c r="N42" i="1" s="1"/>
  <c r="G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60" i="1" s="1"/>
  <c r="P25" i="1"/>
  <c r="P24" i="1"/>
  <c r="P23" i="1"/>
  <c r="Q23" i="1" s="1"/>
  <c r="O24" i="1"/>
  <c r="O26" i="1" s="1"/>
  <c r="L44" i="1"/>
  <c r="L45" i="1" s="1"/>
  <c r="L41" i="1"/>
  <c r="L42" i="1" s="1"/>
  <c r="L9" i="1"/>
  <c r="L10" i="1" s="1"/>
  <c r="L6" i="1"/>
  <c r="L7" i="1" s="1"/>
  <c r="F90" i="1"/>
  <c r="L89" i="1" s="1"/>
  <c r="E90" i="1"/>
  <c r="L88" i="1" s="1"/>
  <c r="F60" i="1"/>
  <c r="L59" i="1" s="1"/>
  <c r="E60" i="1"/>
  <c r="L58" i="1" s="1"/>
  <c r="F30" i="1"/>
  <c r="L29" i="1" s="1"/>
  <c r="E30" i="1"/>
  <c r="L28" i="1" s="1"/>
  <c r="F98" i="1" l="1"/>
  <c r="F99" i="1" s="1"/>
  <c r="F100" i="1" s="1"/>
  <c r="F118" i="1"/>
  <c r="F119" i="1" s="1"/>
  <c r="F120" i="1" s="1"/>
  <c r="G118" i="1"/>
  <c r="G119" i="1" s="1"/>
  <c r="G120" i="1" s="1"/>
  <c r="I110" i="1"/>
  <c r="I108" i="1"/>
  <c r="I109" i="1" s="1"/>
  <c r="G105" i="1"/>
  <c r="G107" i="1" s="1"/>
  <c r="G108" i="1"/>
  <c r="G109" i="1" s="1"/>
  <c r="G110" i="1" s="1"/>
  <c r="F108" i="1"/>
  <c r="F109" i="1" s="1"/>
  <c r="F110" i="1" s="1"/>
  <c r="I95" i="1"/>
  <c r="I97" i="1" s="1"/>
  <c r="I98" i="1" s="1"/>
  <c r="I99" i="1" s="1"/>
  <c r="I100" i="1" s="1"/>
  <c r="O57" i="1"/>
  <c r="Q85" i="1"/>
  <c r="P51" i="1"/>
  <c r="Q83" i="1"/>
  <c r="Q86" i="1" s="1"/>
  <c r="Q57" i="1"/>
  <c r="Q19" i="1"/>
  <c r="P26" i="1"/>
  <c r="Q78" i="1"/>
  <c r="Q80" i="1" s="1"/>
  <c r="Q17" i="1"/>
  <c r="Q20" i="1" s="1"/>
  <c r="L30" i="1"/>
  <c r="L31" i="1" s="1"/>
  <c r="L60" i="1"/>
  <c r="L61" i="1" s="1"/>
  <c r="Q24" i="1"/>
  <c r="Q26" i="1" s="1"/>
  <c r="Q25" i="1"/>
  <c r="L90" i="1"/>
  <c r="L91" i="1" s="1"/>
  <c r="G95" i="1" l="1"/>
  <c r="G97" i="1" l="1"/>
  <c r="G98" i="1" l="1"/>
  <c r="G99" i="1" l="1"/>
  <c r="G100" i="1" l="1"/>
</calcChain>
</file>

<file path=xl/sharedStrings.xml><?xml version="1.0" encoding="utf-8"?>
<sst xmlns="http://schemas.openxmlformats.org/spreadsheetml/2006/main" count="194" uniqueCount="52">
  <si>
    <t>GroupName</t>
  </si>
  <si>
    <t>MonthYear</t>
  </si>
  <si>
    <t>GroupName: OffShoreTechSupport.R.AF</t>
  </si>
  <si>
    <t>Total: 1,226.70</t>
  </si>
  <si>
    <t>Total: 1,968.64, Average: 72.91</t>
  </si>
  <si>
    <t>GroupName: OffShoreTechSupport.R.N</t>
  </si>
  <si>
    <t>Total: 1,650.26</t>
  </si>
  <si>
    <t>Total: 2,544.63, Average: 94.25</t>
  </si>
  <si>
    <t>GroupName: TechSupport.R.N</t>
  </si>
  <si>
    <t>TechSupport.R.N</t>
  </si>
  <si>
    <t>Total: 520.00</t>
  </si>
  <si>
    <t>Total: 443.90, Average: 16.44</t>
  </si>
  <si>
    <t>OS Support.AH</t>
  </si>
  <si>
    <t>Total Hours Second Period (5-1-24 to 4-20-25)</t>
  </si>
  <si>
    <t>Total Hours First Period (5-1-23 to 4-30-24)</t>
  </si>
  <si>
    <t>Monthly Average for Second Period</t>
  </si>
  <si>
    <t>Monthly Average for Third Period</t>
  </si>
  <si>
    <t xml:space="preserve"> </t>
  </si>
  <si>
    <t>Total Hours Worked</t>
  </si>
  <si>
    <t>Total Average Hours Invoiced</t>
  </si>
  <si>
    <t>Total Hours Worked But Not Invoiced</t>
  </si>
  <si>
    <t xml:space="preserve">OS Support </t>
  </si>
  <si>
    <t>TOTAL AVERAGE HOURS ALL ROLES</t>
  </si>
  <si>
    <t>TOTAL HOURS WORKED ALL ROLES</t>
  </si>
  <si>
    <t>TOTAL HOURS WORKED BUT NOT INVOICED</t>
  </si>
  <si>
    <t>Montly Interest on Outstanding Balance (10%)</t>
  </si>
  <si>
    <t>Interest from 8-1-25 through 4-30-26</t>
  </si>
  <si>
    <t>TOTAL AMOUNT DUE</t>
  </si>
  <si>
    <t>Standard $150.00 rate per hour for uninvoiced hours</t>
  </si>
  <si>
    <t>TOTAL AMOUNT DUE w/ Interest as of 4-30-26</t>
  </si>
  <si>
    <t>Total Hrs. Invoiced</t>
  </si>
  <si>
    <t>Total Hrs. Worked</t>
  </si>
  <si>
    <t>Difference</t>
  </si>
  <si>
    <t>First Period</t>
  </si>
  <si>
    <t>Second Period</t>
  </si>
  <si>
    <t>Third Period</t>
  </si>
  <si>
    <t>Revised Actual Count</t>
  </si>
  <si>
    <t>Original Actual Count</t>
  </si>
  <si>
    <t>Average Count</t>
  </si>
  <si>
    <t xml:space="preserve">Calculation of Average Count </t>
  </si>
  <si>
    <t xml:space="preserve">Original </t>
  </si>
  <si>
    <t xml:space="preserve">Revised </t>
  </si>
  <si>
    <t>x $150</t>
  </si>
  <si>
    <t>X $150</t>
  </si>
  <si>
    <t>x 150</t>
  </si>
  <si>
    <t>Average Using Revised Counts</t>
  </si>
  <si>
    <t>Any Hours Over Period 2 Average</t>
  </si>
  <si>
    <t>Calculate only for the Second and Third Periods</t>
  </si>
  <si>
    <t>Calculate only for the Second Period</t>
  </si>
  <si>
    <t>Revised Count</t>
  </si>
  <si>
    <t xml:space="preserve">Difference (Rev-Originall) </t>
  </si>
  <si>
    <t>Alternative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</si>
</sst>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4">
    <xf numFmtId="0" fontId="0" fillId="0" borderId="0" xfId="0"/>
    <xf numFmtId="0" fontId="1" fillId="2" borderId="0" xfId="0" applyFont="1" applyFill="1"/>
    <xf numFmtId="0" fontId="2" fillId="3" borderId="0" xfId="0" applyFont="1" applyFill="1"/>
    <xf numFmtId="14" fontId="0" fillId="0" borderId="0" xfId="0" applyNumberFormat="1"/>
    <xf numFmtId="0" fontId="2" fillId="3" borderId="0" xfId="0" applyFont="1" applyFill="1"/>
    <xf numFmtId="0" fontId="0" fillId="0" borderId="0" xfId="0"/>
    <xf numFmtId="44" fontId="0" fillId="0" borderId="0" xfId="1" applyFont="1"/>
    <xf numFmtId="0" fontId="0" fillId="0" borderId="0" xfId="0"/>
    <xf numFmtId="0" fontId="2" fillId="3" borderId="0" xfId="0" applyFont="1" applyFill="1"/>
    <xf numFmtId="0" fontId="0" fillId="0" borderId="0" xfId="0"/>
    <xf numFmtId="0" fontId="2" fillId="3" borderId="0" xfId="0" applyFont="1" applyFill="1"/>
    <xf numFmtId="0" fontId="0" fillId="0" borderId="0" xfId="0"/>
    <xf numFmtId="2" fontId="0" fillId="0" borderId="0" xfId="0" applyNumberFormat="1"/>
    <xf numFmtId="44" fontId="0" fillId="0" borderId="0" xfId="1" applyFont="1" applyAlignment="1">
      <alignment horizontal="right"/>
    </xf>
    <xf numFmtId="2" fontId="0" fillId="0" borderId="1" xfId="1" applyNumberFormat="1" applyFont="1" applyBorder="1"/>
    <xf numFmtId="0" fontId="0" fillId="0" borderId="1" xfId="0" applyBorder="1"/>
    <xf numFmtId="0" fontId="0" fillId="0" borderId="0" xfId="0" applyAlignment="1">
      <alignment horizontal="right"/>
    </xf>
    <xf numFmtId="44" fontId="0" fillId="0" borderId="0" xfId="0" applyNumberFormat="1"/>
    <xf numFmtId="0" fontId="0" fillId="4" borderId="0" xfId="0" applyFill="1"/>
    <xf numFmtId="0" fontId="0" fillId="5" borderId="0" xfId="0" applyFill="1"/>
    <xf numFmtId="0" fontId="4" fillId="0" borderId="0" xfId="0" applyFont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44" fontId="0" fillId="0" borderId="0" xfId="1" applyFont="1" applyBorder="1"/>
    <xf numFmtId="0" fontId="4" fillId="0" borderId="0" xfId="0" applyFont="1" applyBorder="1" applyAlignment="1">
      <alignment horizontal="right"/>
    </xf>
    <xf numFmtId="44" fontId="4" fillId="0" borderId="0" xfId="0" applyNumberFormat="1" applyFon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2"/>
  <sheetViews>
    <sheetView tabSelected="1" topLeftCell="D1" workbookViewId="0">
      <pane ySplit="1" topLeftCell="A92" activePane="bottomLeft" state="frozen"/>
      <selection pane="bottomLeft" activeCell="J110" sqref="J110"/>
    </sheetView>
  </sheetViews>
  <sheetFormatPr defaultRowHeight="15" x14ac:dyDescent="0.25"/>
  <cols>
    <col min="1" max="1" width="5.85546875" customWidth="1"/>
    <col min="2" max="2" width="3.28515625" style="9" customWidth="1"/>
    <col min="3" max="3" width="24.7109375" bestFit="1" customWidth="1"/>
    <col min="4" max="4" width="45.7109375" customWidth="1"/>
    <col min="5" max="5" width="15.7109375" bestFit="1" customWidth="1"/>
    <col min="6" max="6" width="27.85546875" customWidth="1"/>
    <col min="7" max="7" width="14.28515625" customWidth="1"/>
    <col min="8" max="8" width="14.140625" style="9" customWidth="1"/>
    <col min="9" max="9" width="18.42578125" style="9" customWidth="1"/>
    <col min="10" max="10" width="6.42578125" style="9" customWidth="1"/>
    <col min="11" max="11" width="40.5703125" customWidth="1"/>
    <col min="12" max="12" width="15.140625" customWidth="1"/>
    <col min="13" max="13" width="1.5703125" customWidth="1"/>
    <col min="14" max="15" width="17.7109375" customWidth="1"/>
    <col min="16" max="16" width="16.5703125" customWidth="1"/>
    <col min="17" max="17" width="12.7109375" customWidth="1"/>
    <col min="18" max="18" width="13.140625" customWidth="1"/>
    <col min="19" max="19" width="12.5703125" bestFit="1" customWidth="1"/>
  </cols>
  <sheetData>
    <row r="1" spans="1:17" ht="30" x14ac:dyDescent="0.25">
      <c r="A1" s="1"/>
      <c r="B1" s="1"/>
      <c r="C1" s="1" t="s">
        <v>0</v>
      </c>
      <c r="D1" s="22" t="s">
        <v>1</v>
      </c>
      <c r="E1" s="22" t="s">
        <v>38</v>
      </c>
      <c r="F1" s="22" t="s">
        <v>37</v>
      </c>
      <c r="G1" s="21" t="s">
        <v>36</v>
      </c>
      <c r="H1" s="31" t="s">
        <v>50</v>
      </c>
      <c r="I1" s="31" t="s">
        <v>46</v>
      </c>
      <c r="J1" s="31"/>
      <c r="K1" s="22" t="s">
        <v>39</v>
      </c>
      <c r="M1" s="19"/>
      <c r="N1" s="30" t="s">
        <v>45</v>
      </c>
    </row>
    <row r="2" spans="1:17" x14ac:dyDescent="0.25">
      <c r="A2" s="10" t="s">
        <v>2</v>
      </c>
      <c r="B2" s="10"/>
      <c r="C2" s="11"/>
      <c r="D2" s="11"/>
      <c r="E2" s="11"/>
      <c r="F2" s="11"/>
      <c r="I2" s="32">
        <v>68.52</v>
      </c>
      <c r="J2" s="32"/>
      <c r="M2" s="19"/>
    </row>
    <row r="3" spans="1:17" x14ac:dyDescent="0.25">
      <c r="A3" s="2"/>
      <c r="B3" s="8"/>
      <c r="C3" t="s">
        <v>12</v>
      </c>
      <c r="D3" s="3">
        <v>45047</v>
      </c>
      <c r="E3">
        <v>0</v>
      </c>
      <c r="F3">
        <v>0.62</v>
      </c>
      <c r="G3" s="9">
        <v>0.62</v>
      </c>
      <c r="H3" s="9">
        <f t="shared" ref="H3:H29" si="0">+G3-F3</f>
        <v>0</v>
      </c>
      <c r="I3" s="9">
        <f>+F3-$I$2</f>
        <v>-67.899999999999991</v>
      </c>
      <c r="M3" s="19"/>
    </row>
    <row r="4" spans="1:17" x14ac:dyDescent="0.25">
      <c r="A4" s="2"/>
      <c r="B4" s="8"/>
      <c r="C4" s="9" t="s">
        <v>12</v>
      </c>
      <c r="D4" s="3">
        <v>45078</v>
      </c>
      <c r="E4">
        <v>20</v>
      </c>
      <c r="F4">
        <v>12.03</v>
      </c>
      <c r="G4" s="9">
        <v>11.7</v>
      </c>
      <c r="H4" s="9">
        <f t="shared" si="0"/>
        <v>-0.33000000000000007</v>
      </c>
      <c r="I4" s="9">
        <f t="shared" ref="I4:I29" si="1">+F4-$I$2</f>
        <v>-56.489999999999995</v>
      </c>
      <c r="M4" s="19"/>
    </row>
    <row r="5" spans="1:17" x14ac:dyDescent="0.25">
      <c r="A5" s="2"/>
      <c r="B5" s="8"/>
      <c r="C5" s="9" t="s">
        <v>12</v>
      </c>
      <c r="D5" s="3">
        <v>45108</v>
      </c>
      <c r="E5">
        <v>20</v>
      </c>
      <c r="F5">
        <v>23.08</v>
      </c>
      <c r="G5" s="9">
        <v>21.1</v>
      </c>
      <c r="H5" s="9">
        <f t="shared" si="0"/>
        <v>-1.9799999999999969</v>
      </c>
      <c r="I5" s="9">
        <f t="shared" si="1"/>
        <v>-45.44</v>
      </c>
      <c r="M5" s="19"/>
    </row>
    <row r="6" spans="1:17" x14ac:dyDescent="0.25">
      <c r="A6" s="2"/>
      <c r="B6" s="8"/>
      <c r="C6" s="9" t="s">
        <v>12</v>
      </c>
      <c r="D6" s="3">
        <v>45139</v>
      </c>
      <c r="E6">
        <v>20</v>
      </c>
      <c r="F6">
        <v>58.82</v>
      </c>
      <c r="G6" s="9">
        <v>48.18</v>
      </c>
      <c r="H6" s="9">
        <f t="shared" si="0"/>
        <v>-10.64</v>
      </c>
      <c r="I6" s="9">
        <f t="shared" si="1"/>
        <v>-9.6999999999999957</v>
      </c>
      <c r="K6" t="s">
        <v>14</v>
      </c>
      <c r="L6">
        <f>SUM(F3:F14)</f>
        <v>750.68</v>
      </c>
      <c r="M6" s="19" t="s">
        <v>17</v>
      </c>
      <c r="N6" s="9">
        <f>SUM(G3:G14)</f>
        <v>688.49</v>
      </c>
    </row>
    <row r="7" spans="1:17" x14ac:dyDescent="0.25">
      <c r="A7" s="2"/>
      <c r="B7" s="8"/>
      <c r="C7" s="9" t="s">
        <v>12</v>
      </c>
      <c r="D7" s="3">
        <v>45170</v>
      </c>
      <c r="E7">
        <v>20</v>
      </c>
      <c r="F7">
        <v>92.45</v>
      </c>
      <c r="G7" s="9">
        <v>88.63</v>
      </c>
      <c r="H7" s="9">
        <f t="shared" si="0"/>
        <v>-3.8200000000000074</v>
      </c>
      <c r="I7" s="9">
        <f t="shared" si="1"/>
        <v>23.930000000000007</v>
      </c>
      <c r="K7" t="s">
        <v>15</v>
      </c>
      <c r="L7" s="12">
        <f>+L6/12</f>
        <v>62.556666666666665</v>
      </c>
      <c r="M7" s="19" t="s">
        <v>17</v>
      </c>
      <c r="N7" s="12">
        <f>+N6/12</f>
        <v>57.374166666666667</v>
      </c>
    </row>
    <row r="8" spans="1:17" x14ac:dyDescent="0.25">
      <c r="A8" s="2"/>
      <c r="B8" s="8"/>
      <c r="C8" s="9" t="s">
        <v>12</v>
      </c>
      <c r="D8" s="3">
        <v>45200</v>
      </c>
      <c r="E8">
        <v>20</v>
      </c>
      <c r="F8">
        <v>64.08</v>
      </c>
      <c r="G8" s="9">
        <v>58.6</v>
      </c>
      <c r="H8" s="9">
        <f t="shared" si="0"/>
        <v>-5.4799999999999969</v>
      </c>
      <c r="I8" s="9">
        <f t="shared" si="1"/>
        <v>-4.4399999999999977</v>
      </c>
      <c r="M8" s="19"/>
      <c r="N8" s="9"/>
    </row>
    <row r="9" spans="1:17" x14ac:dyDescent="0.25">
      <c r="A9" s="2"/>
      <c r="B9" s="8"/>
      <c r="C9" s="9" t="s">
        <v>12</v>
      </c>
      <c r="D9" s="3">
        <v>45231</v>
      </c>
      <c r="E9">
        <v>20</v>
      </c>
      <c r="F9">
        <v>76.86</v>
      </c>
      <c r="G9" s="9">
        <v>72.03</v>
      </c>
      <c r="H9" s="9">
        <f t="shared" si="0"/>
        <v>-4.8299999999999983</v>
      </c>
      <c r="I9" s="9">
        <f t="shared" si="1"/>
        <v>8.3400000000000034</v>
      </c>
      <c r="K9" t="s">
        <v>13</v>
      </c>
      <c r="L9">
        <f>SUM(F15:F26)</f>
        <v>1066.98</v>
      </c>
      <c r="M9" s="19"/>
      <c r="N9" s="9">
        <f>SUM(G15:G26)</f>
        <v>982.36000000000013</v>
      </c>
    </row>
    <row r="10" spans="1:17" x14ac:dyDescent="0.25">
      <c r="A10" s="2"/>
      <c r="B10" s="8"/>
      <c r="C10" s="9" t="s">
        <v>12</v>
      </c>
      <c r="D10" s="3">
        <v>45261</v>
      </c>
      <c r="E10">
        <v>20</v>
      </c>
      <c r="F10">
        <v>67.37</v>
      </c>
      <c r="G10" s="9">
        <v>62.42</v>
      </c>
      <c r="H10" s="9">
        <f t="shared" si="0"/>
        <v>-4.9500000000000028</v>
      </c>
      <c r="I10" s="9">
        <f t="shared" si="1"/>
        <v>-1.1499999999999915</v>
      </c>
      <c r="K10" t="s">
        <v>16</v>
      </c>
      <c r="L10">
        <f>+L9/12</f>
        <v>88.915000000000006</v>
      </c>
      <c r="M10" s="19"/>
      <c r="N10" s="12">
        <f>+N9/12</f>
        <v>81.863333333333344</v>
      </c>
    </row>
    <row r="11" spans="1:17" x14ac:dyDescent="0.25">
      <c r="A11" s="2"/>
      <c r="B11" s="8"/>
      <c r="C11" s="9" t="s">
        <v>12</v>
      </c>
      <c r="D11" s="3">
        <v>45292</v>
      </c>
      <c r="E11">
        <v>20</v>
      </c>
      <c r="F11">
        <v>78.010000000000005</v>
      </c>
      <c r="G11" s="9">
        <v>71.14</v>
      </c>
      <c r="H11" s="9">
        <f t="shared" si="0"/>
        <v>-6.8700000000000045</v>
      </c>
      <c r="I11" s="9">
        <f t="shared" si="1"/>
        <v>9.4900000000000091</v>
      </c>
      <c r="M11" s="19"/>
    </row>
    <row r="12" spans="1:17" x14ac:dyDescent="0.25">
      <c r="A12" s="2"/>
      <c r="B12" s="8"/>
      <c r="C12" s="9" t="s">
        <v>12</v>
      </c>
      <c r="D12" s="3">
        <v>45323</v>
      </c>
      <c r="E12">
        <v>20</v>
      </c>
      <c r="F12">
        <v>64.599999999999994</v>
      </c>
      <c r="G12" s="9">
        <v>58.9</v>
      </c>
      <c r="H12" s="9">
        <f t="shared" si="0"/>
        <v>-5.6999999999999957</v>
      </c>
      <c r="I12" s="9">
        <f t="shared" si="1"/>
        <v>-3.9200000000000017</v>
      </c>
      <c r="K12" t="s">
        <v>17</v>
      </c>
      <c r="M12" s="19"/>
    </row>
    <row r="13" spans="1:17" x14ac:dyDescent="0.25">
      <c r="A13" s="2"/>
      <c r="B13" s="8"/>
      <c r="C13" s="9" t="s">
        <v>12</v>
      </c>
      <c r="D13" s="3">
        <v>45352</v>
      </c>
      <c r="E13">
        <v>20</v>
      </c>
      <c r="F13">
        <v>106.3</v>
      </c>
      <c r="G13" s="9">
        <v>97.36</v>
      </c>
      <c r="H13" s="9">
        <f t="shared" si="0"/>
        <v>-8.9399999999999977</v>
      </c>
      <c r="I13" s="9">
        <f t="shared" si="1"/>
        <v>37.78</v>
      </c>
      <c r="M13" s="19"/>
      <c r="N13" s="6"/>
    </row>
    <row r="14" spans="1:17" x14ac:dyDescent="0.25">
      <c r="A14" s="2"/>
      <c r="B14" s="8"/>
      <c r="C14" s="9" t="s">
        <v>12</v>
      </c>
      <c r="D14" s="3">
        <v>45383</v>
      </c>
      <c r="E14">
        <v>20</v>
      </c>
      <c r="F14">
        <v>106.46</v>
      </c>
      <c r="G14" s="9">
        <v>97.81</v>
      </c>
      <c r="H14" s="9">
        <f t="shared" si="0"/>
        <v>-8.6499999999999915</v>
      </c>
      <c r="I14" s="9">
        <f t="shared" si="1"/>
        <v>37.94</v>
      </c>
      <c r="M14" s="19"/>
    </row>
    <row r="15" spans="1:17" x14ac:dyDescent="0.25">
      <c r="A15" s="2"/>
      <c r="B15" s="8"/>
      <c r="C15" s="9" t="s">
        <v>12</v>
      </c>
      <c r="D15" s="3">
        <v>45413</v>
      </c>
      <c r="E15">
        <v>20</v>
      </c>
      <c r="F15">
        <v>99.36</v>
      </c>
      <c r="G15" s="9">
        <v>93.18</v>
      </c>
      <c r="H15" s="9">
        <f t="shared" si="0"/>
        <v>-6.1799999999999926</v>
      </c>
      <c r="I15" s="9">
        <f t="shared" si="1"/>
        <v>30.840000000000003</v>
      </c>
      <c r="M15" s="19"/>
    </row>
    <row r="16" spans="1:17" x14ac:dyDescent="0.25">
      <c r="A16" s="2"/>
      <c r="B16" s="8"/>
      <c r="C16" s="9" t="s">
        <v>12</v>
      </c>
      <c r="D16" s="3">
        <v>45444</v>
      </c>
      <c r="E16">
        <v>68.52</v>
      </c>
      <c r="F16">
        <v>125.97</v>
      </c>
      <c r="G16" s="9">
        <v>116.61</v>
      </c>
      <c r="H16" s="9">
        <f t="shared" si="0"/>
        <v>-9.36</v>
      </c>
      <c r="I16" s="9">
        <f t="shared" si="1"/>
        <v>57.45</v>
      </c>
      <c r="M16" s="19"/>
      <c r="N16" s="20" t="s">
        <v>41</v>
      </c>
      <c r="O16" s="29" t="s">
        <v>30</v>
      </c>
      <c r="P16" s="29" t="s">
        <v>31</v>
      </c>
      <c r="Q16" s="29" t="s">
        <v>32</v>
      </c>
    </row>
    <row r="17" spans="1:17" x14ac:dyDescent="0.25">
      <c r="A17" s="2"/>
      <c r="B17" s="8"/>
      <c r="C17" s="9" t="s">
        <v>12</v>
      </c>
      <c r="D17" s="3">
        <v>45474</v>
      </c>
      <c r="E17">
        <v>68.52</v>
      </c>
      <c r="F17">
        <v>77.989999999999995</v>
      </c>
      <c r="G17" s="9">
        <v>73.73</v>
      </c>
      <c r="H17" s="9">
        <f t="shared" si="0"/>
        <v>-4.2599999999999909</v>
      </c>
      <c r="I17" s="9">
        <f t="shared" si="1"/>
        <v>9.4699999999999989</v>
      </c>
      <c r="M17" s="19"/>
      <c r="N17" s="20" t="s">
        <v>33</v>
      </c>
      <c r="O17" s="9">
        <f>SUM(E3:E14)</f>
        <v>220</v>
      </c>
      <c r="P17" s="9">
        <f>SUM(G3:G14)</f>
        <v>688.49</v>
      </c>
      <c r="Q17" s="9">
        <f>+P17-O17</f>
        <v>468.49</v>
      </c>
    </row>
    <row r="18" spans="1:17" x14ac:dyDescent="0.25">
      <c r="A18" s="2"/>
      <c r="B18" s="8"/>
      <c r="C18" s="9" t="s">
        <v>12</v>
      </c>
      <c r="D18" s="3">
        <v>45505</v>
      </c>
      <c r="E18">
        <v>68.52</v>
      </c>
      <c r="F18">
        <v>146.27000000000001</v>
      </c>
      <c r="G18" s="9">
        <v>133.63999999999999</v>
      </c>
      <c r="H18" s="9">
        <f t="shared" si="0"/>
        <v>-12.630000000000024</v>
      </c>
      <c r="I18" s="9">
        <f t="shared" si="1"/>
        <v>77.750000000000014</v>
      </c>
      <c r="M18" s="19"/>
      <c r="N18" s="20" t="s">
        <v>34</v>
      </c>
      <c r="O18" s="9">
        <f>SUM(E15:E26)</f>
        <v>773.71999999999991</v>
      </c>
      <c r="P18" s="9">
        <f>SUM(G15:G26)</f>
        <v>982.36000000000013</v>
      </c>
      <c r="Q18" s="9">
        <f t="shared" ref="Q18:Q19" si="2">+P18-O18</f>
        <v>208.64000000000021</v>
      </c>
    </row>
    <row r="19" spans="1:17" x14ac:dyDescent="0.25">
      <c r="A19" s="2"/>
      <c r="B19" s="8"/>
      <c r="C19" s="9" t="s">
        <v>12</v>
      </c>
      <c r="D19" s="3">
        <v>45536</v>
      </c>
      <c r="E19">
        <v>68.52</v>
      </c>
      <c r="F19">
        <v>75.67</v>
      </c>
      <c r="G19" s="9">
        <v>69.72</v>
      </c>
      <c r="H19" s="9">
        <f t="shared" si="0"/>
        <v>-5.9500000000000028</v>
      </c>
      <c r="I19" s="9">
        <f t="shared" si="1"/>
        <v>7.1500000000000057</v>
      </c>
      <c r="M19" s="19"/>
      <c r="N19" s="20" t="s">
        <v>35</v>
      </c>
      <c r="O19" s="9">
        <f>SUM(E27:E29)</f>
        <v>232.98000000000002</v>
      </c>
      <c r="P19" s="9">
        <f>SUM(G27:G29)</f>
        <v>130.23999999999998</v>
      </c>
      <c r="Q19" s="9">
        <f t="shared" si="2"/>
        <v>-102.74000000000004</v>
      </c>
    </row>
    <row r="20" spans="1:17" ht="15.75" thickBot="1" x14ac:dyDescent="0.3">
      <c r="A20" s="2"/>
      <c r="B20" s="8"/>
      <c r="C20" s="9" t="s">
        <v>12</v>
      </c>
      <c r="D20" s="3">
        <v>45566</v>
      </c>
      <c r="E20">
        <v>68.52</v>
      </c>
      <c r="F20">
        <v>86.44</v>
      </c>
      <c r="G20" s="9">
        <v>82.33</v>
      </c>
      <c r="H20" s="9">
        <f t="shared" si="0"/>
        <v>-4.1099999999999994</v>
      </c>
      <c r="I20" s="9">
        <f t="shared" si="1"/>
        <v>17.920000000000002</v>
      </c>
      <c r="M20" s="19"/>
      <c r="O20" s="15">
        <f>SUM(O17:O19)</f>
        <v>1226.6999999999998</v>
      </c>
      <c r="P20" s="15">
        <f t="shared" ref="P20:Q20" si="3">SUM(P17:P19)</f>
        <v>1801.0900000000001</v>
      </c>
      <c r="Q20" s="15">
        <f t="shared" si="3"/>
        <v>574.39000000000021</v>
      </c>
    </row>
    <row r="21" spans="1:17" ht="15.75" thickTop="1" x14ac:dyDescent="0.25">
      <c r="A21" s="2"/>
      <c r="B21" s="8"/>
      <c r="C21" s="9" t="s">
        <v>12</v>
      </c>
      <c r="D21" s="3">
        <v>45597</v>
      </c>
      <c r="E21">
        <v>68.52</v>
      </c>
      <c r="F21">
        <v>89.42</v>
      </c>
      <c r="G21" s="9">
        <v>82.2</v>
      </c>
      <c r="H21" s="9">
        <f t="shared" si="0"/>
        <v>-7.2199999999999989</v>
      </c>
      <c r="I21" s="9">
        <f t="shared" si="1"/>
        <v>20.900000000000006</v>
      </c>
      <c r="M21" s="19"/>
    </row>
    <row r="22" spans="1:17" x14ac:dyDescent="0.25">
      <c r="A22" s="2"/>
      <c r="B22" s="8"/>
      <c r="C22" s="9" t="s">
        <v>12</v>
      </c>
      <c r="D22" s="3">
        <v>45627</v>
      </c>
      <c r="E22">
        <v>68.52</v>
      </c>
      <c r="F22">
        <v>70.099999999999994</v>
      </c>
      <c r="G22" s="9">
        <v>60.17</v>
      </c>
      <c r="H22" s="9">
        <f t="shared" si="0"/>
        <v>-9.9299999999999926</v>
      </c>
      <c r="I22" s="9">
        <f t="shared" si="1"/>
        <v>1.5799999999999983</v>
      </c>
      <c r="M22" s="19"/>
      <c r="N22" s="20" t="s">
        <v>40</v>
      </c>
      <c r="O22" s="29" t="s">
        <v>30</v>
      </c>
      <c r="P22" s="29" t="s">
        <v>31</v>
      </c>
      <c r="Q22" s="29" t="s">
        <v>32</v>
      </c>
    </row>
    <row r="23" spans="1:17" x14ac:dyDescent="0.25">
      <c r="A23" s="2"/>
      <c r="B23" s="8"/>
      <c r="C23" s="9" t="s">
        <v>12</v>
      </c>
      <c r="D23" s="3">
        <v>45658</v>
      </c>
      <c r="E23">
        <v>68.52</v>
      </c>
      <c r="F23">
        <v>87.27</v>
      </c>
      <c r="G23" s="9">
        <v>82.63</v>
      </c>
      <c r="H23" s="9">
        <f t="shared" si="0"/>
        <v>-4.6400000000000006</v>
      </c>
      <c r="I23" s="9">
        <f t="shared" si="1"/>
        <v>18.75</v>
      </c>
      <c r="M23" s="19"/>
      <c r="N23" s="20" t="s">
        <v>33</v>
      </c>
      <c r="O23">
        <f>SUM(E3:E14)</f>
        <v>220</v>
      </c>
      <c r="P23">
        <f>SUM(F3:F14)</f>
        <v>750.68</v>
      </c>
      <c r="Q23">
        <f>+P23-O23</f>
        <v>530.67999999999995</v>
      </c>
    </row>
    <row r="24" spans="1:17" x14ac:dyDescent="0.25">
      <c r="A24" s="2"/>
      <c r="B24" s="8"/>
      <c r="C24" s="9" t="s">
        <v>12</v>
      </c>
      <c r="D24" s="3">
        <v>45689</v>
      </c>
      <c r="E24">
        <v>68.52</v>
      </c>
      <c r="F24">
        <v>81.13</v>
      </c>
      <c r="G24" s="9">
        <v>71.709999999999994</v>
      </c>
      <c r="H24" s="9">
        <f t="shared" si="0"/>
        <v>-9.4200000000000017</v>
      </c>
      <c r="I24" s="9">
        <f t="shared" si="1"/>
        <v>12.61</v>
      </c>
      <c r="M24" s="19"/>
      <c r="N24" s="20" t="s">
        <v>34</v>
      </c>
      <c r="O24">
        <f>SUM(E15:E26)</f>
        <v>773.71999999999991</v>
      </c>
      <c r="P24">
        <f>SUM(F15:F26)</f>
        <v>1066.98</v>
      </c>
      <c r="Q24" s="9">
        <f t="shared" ref="Q24:Q25" si="4">+P24-O24</f>
        <v>293.2600000000001</v>
      </c>
    </row>
    <row r="25" spans="1:17" x14ac:dyDescent="0.25">
      <c r="A25" s="2"/>
      <c r="B25" s="8"/>
      <c r="C25" s="9" t="s">
        <v>12</v>
      </c>
      <c r="D25" s="3">
        <v>45717</v>
      </c>
      <c r="E25">
        <v>68.52</v>
      </c>
      <c r="F25">
        <v>64.040000000000006</v>
      </c>
      <c r="G25" s="9">
        <v>60.1</v>
      </c>
      <c r="H25" s="9">
        <f t="shared" si="0"/>
        <v>-3.9400000000000048</v>
      </c>
      <c r="I25" s="9">
        <f t="shared" si="1"/>
        <v>-4.4799999999999898</v>
      </c>
      <c r="M25" s="19"/>
      <c r="N25" s="20" t="s">
        <v>35</v>
      </c>
      <c r="O25">
        <f>SUM(E27:E29)</f>
        <v>232.98000000000002</v>
      </c>
      <c r="P25">
        <f>SUM(F27:F29)</f>
        <v>150.97999999999999</v>
      </c>
      <c r="Q25" s="9">
        <f t="shared" si="4"/>
        <v>-82.000000000000028</v>
      </c>
    </row>
    <row r="26" spans="1:17" ht="15.75" thickBot="1" x14ac:dyDescent="0.3">
      <c r="A26" s="2"/>
      <c r="B26" s="8"/>
      <c r="C26" s="9" t="s">
        <v>12</v>
      </c>
      <c r="D26" s="3">
        <v>45748</v>
      </c>
      <c r="E26">
        <v>68.52</v>
      </c>
      <c r="F26">
        <v>63.32</v>
      </c>
      <c r="G26" s="9">
        <v>56.34</v>
      </c>
      <c r="H26" s="9">
        <f t="shared" si="0"/>
        <v>-6.9799999999999969</v>
      </c>
      <c r="I26" s="9">
        <f t="shared" si="1"/>
        <v>-5.1999999999999957</v>
      </c>
      <c r="M26" s="19"/>
      <c r="O26" s="15">
        <f t="shared" ref="O26:Q26" si="5">SUM(O23:O25)</f>
        <v>1226.6999999999998</v>
      </c>
      <c r="P26" s="15">
        <f t="shared" si="5"/>
        <v>1968.6399999999999</v>
      </c>
      <c r="Q26" s="15">
        <f t="shared" si="5"/>
        <v>741.94</v>
      </c>
    </row>
    <row r="27" spans="1:17" ht="15.75" thickTop="1" x14ac:dyDescent="0.25">
      <c r="A27" s="2"/>
      <c r="B27" s="8"/>
      <c r="C27" s="9" t="s">
        <v>12</v>
      </c>
      <c r="D27" s="3">
        <v>45778</v>
      </c>
      <c r="E27">
        <v>68.52</v>
      </c>
      <c r="F27">
        <v>54.98</v>
      </c>
      <c r="G27" s="9">
        <v>51.05</v>
      </c>
      <c r="H27" s="9">
        <f t="shared" si="0"/>
        <v>-3.9299999999999997</v>
      </c>
      <c r="I27" s="9">
        <f t="shared" si="1"/>
        <v>-13.54</v>
      </c>
      <c r="M27" s="19"/>
      <c r="N27" s="20" t="s">
        <v>17</v>
      </c>
    </row>
    <row r="28" spans="1:17" x14ac:dyDescent="0.25">
      <c r="A28" s="2"/>
      <c r="B28" s="8"/>
      <c r="C28" s="9" t="s">
        <v>12</v>
      </c>
      <c r="D28" s="3">
        <v>45809</v>
      </c>
      <c r="E28">
        <v>82.23</v>
      </c>
      <c r="F28" s="18">
        <v>69.44</v>
      </c>
      <c r="G28" s="9">
        <v>53.43</v>
      </c>
      <c r="H28" s="9">
        <f t="shared" si="0"/>
        <v>-16.009999999999998</v>
      </c>
      <c r="I28" s="9">
        <f t="shared" si="1"/>
        <v>0.92000000000000171</v>
      </c>
      <c r="K28" t="s">
        <v>19</v>
      </c>
      <c r="L28">
        <f>+E30</f>
        <v>1226.6999999999998</v>
      </c>
      <c r="M28" s="19"/>
    </row>
    <row r="29" spans="1:17" x14ac:dyDescent="0.25">
      <c r="A29" s="2"/>
      <c r="B29" s="8"/>
      <c r="C29" s="9" t="s">
        <v>12</v>
      </c>
      <c r="D29" s="3">
        <v>45839</v>
      </c>
      <c r="E29">
        <v>82.23</v>
      </c>
      <c r="F29" s="18">
        <v>26.56</v>
      </c>
      <c r="G29" s="9">
        <v>25.76</v>
      </c>
      <c r="H29" s="9">
        <f t="shared" si="0"/>
        <v>-0.79999999999999716</v>
      </c>
      <c r="I29" s="9">
        <f t="shared" si="1"/>
        <v>-41.959999999999994</v>
      </c>
      <c r="K29" t="s">
        <v>18</v>
      </c>
      <c r="L29">
        <f>+F30</f>
        <v>1968.64</v>
      </c>
      <c r="M29" s="19"/>
    </row>
    <row r="30" spans="1:17" s="5" customFormat="1" ht="15.75" thickBot="1" x14ac:dyDescent="0.3">
      <c r="A30" s="4"/>
      <c r="B30" s="8"/>
      <c r="D30" s="3"/>
      <c r="E30" s="5">
        <f>SUM(E3:E29)</f>
        <v>1226.6999999999998</v>
      </c>
      <c r="F30" s="5">
        <f>SUM(F3:F29)</f>
        <v>1968.64</v>
      </c>
      <c r="G30" s="5">
        <f>SUM(G3:G29)</f>
        <v>1801.0900000000001</v>
      </c>
      <c r="H30" s="9">
        <f>SUM(H3:H29)</f>
        <v>-167.54999999999995</v>
      </c>
      <c r="I30" s="9">
        <f>+I28+I24+I23+I22+I21+I20+I19+I18+I17+I16+I15+I13+I14+I11+I9</f>
        <v>348.8900000000001</v>
      </c>
      <c r="J30" s="9"/>
      <c r="K30" s="13" t="s">
        <v>20</v>
      </c>
      <c r="L30" s="14">
        <f>+L29-L28</f>
        <v>741.94000000000028</v>
      </c>
      <c r="M30" s="19"/>
    </row>
    <row r="31" spans="1:17" ht="15.75" thickTop="1" x14ac:dyDescent="0.25">
      <c r="A31" s="2"/>
      <c r="B31" s="8"/>
      <c r="C31" s="2"/>
      <c r="D31" s="2"/>
      <c r="E31" s="2" t="s">
        <v>3</v>
      </c>
      <c r="F31" s="2" t="s">
        <v>4</v>
      </c>
      <c r="K31" s="13" t="s">
        <v>43</v>
      </c>
      <c r="L31" s="6">
        <f>+L30*150</f>
        <v>111291.00000000004</v>
      </c>
      <c r="M31" s="19"/>
    </row>
    <row r="32" spans="1:17" x14ac:dyDescent="0.25">
      <c r="A32" s="10" t="s">
        <v>5</v>
      </c>
      <c r="B32" s="10"/>
      <c r="C32" s="11"/>
      <c r="D32" s="11"/>
      <c r="E32" s="11"/>
      <c r="F32" s="11"/>
      <c r="I32" s="32">
        <v>80.11</v>
      </c>
      <c r="J32" s="32"/>
      <c r="M32" s="19"/>
    </row>
    <row r="33" spans="1:17" x14ac:dyDescent="0.25">
      <c r="A33" s="2"/>
      <c r="B33" s="8"/>
      <c r="C33" t="s">
        <v>21</v>
      </c>
      <c r="D33" s="3">
        <v>45047</v>
      </c>
      <c r="E33">
        <v>0</v>
      </c>
      <c r="F33">
        <v>0.25</v>
      </c>
      <c r="G33" s="9">
        <v>0.25</v>
      </c>
      <c r="H33" s="9">
        <f>+G33-F33</f>
        <v>0</v>
      </c>
      <c r="I33" s="9">
        <f>+F33-$I$32</f>
        <v>-79.86</v>
      </c>
      <c r="M33" s="19"/>
    </row>
    <row r="34" spans="1:17" x14ac:dyDescent="0.25">
      <c r="A34" s="2"/>
      <c r="B34" s="8"/>
      <c r="C34" s="9" t="s">
        <v>21</v>
      </c>
      <c r="D34" s="3">
        <v>45078</v>
      </c>
      <c r="E34">
        <v>40</v>
      </c>
      <c r="F34">
        <v>4.75</v>
      </c>
      <c r="G34" s="9">
        <v>5.08</v>
      </c>
      <c r="H34" s="9">
        <f t="shared" ref="H34:H59" si="6">+G34-F34</f>
        <v>0.33000000000000007</v>
      </c>
      <c r="I34" s="9">
        <f t="shared" ref="I34:I59" si="7">+F34-$I$32</f>
        <v>-75.36</v>
      </c>
      <c r="M34" s="19"/>
    </row>
    <row r="35" spans="1:17" x14ac:dyDescent="0.25">
      <c r="A35" s="2"/>
      <c r="B35" s="8"/>
      <c r="C35" s="9" t="s">
        <v>21</v>
      </c>
      <c r="D35" s="3">
        <v>45108</v>
      </c>
      <c r="E35">
        <v>40</v>
      </c>
      <c r="F35">
        <v>17.39</v>
      </c>
      <c r="G35" s="9">
        <v>19.37</v>
      </c>
      <c r="H35" s="9">
        <f t="shared" si="6"/>
        <v>1.9800000000000004</v>
      </c>
      <c r="I35" s="9">
        <f t="shared" si="7"/>
        <v>-62.72</v>
      </c>
      <c r="M35" s="19"/>
    </row>
    <row r="36" spans="1:17" x14ac:dyDescent="0.25">
      <c r="A36" s="2"/>
      <c r="B36" s="8"/>
      <c r="C36" s="9" t="s">
        <v>21</v>
      </c>
      <c r="D36" s="3">
        <v>45139</v>
      </c>
      <c r="E36">
        <v>40</v>
      </c>
      <c r="F36">
        <v>132.87</v>
      </c>
      <c r="G36" s="9">
        <v>143.51</v>
      </c>
      <c r="H36" s="9">
        <f t="shared" si="6"/>
        <v>10.639999999999986</v>
      </c>
      <c r="I36" s="9">
        <f t="shared" si="7"/>
        <v>52.760000000000005</v>
      </c>
      <c r="M36" s="19"/>
    </row>
    <row r="37" spans="1:17" x14ac:dyDescent="0.25">
      <c r="A37" s="2"/>
      <c r="B37" s="8"/>
      <c r="C37" s="9" t="s">
        <v>21</v>
      </c>
      <c r="D37" s="3">
        <v>45170</v>
      </c>
      <c r="E37">
        <v>40</v>
      </c>
      <c r="F37">
        <v>69.19</v>
      </c>
      <c r="G37" s="9">
        <v>73.010000000000005</v>
      </c>
      <c r="H37" s="9">
        <f t="shared" si="6"/>
        <v>3.8200000000000074</v>
      </c>
      <c r="I37" s="9">
        <f t="shared" si="7"/>
        <v>-10.920000000000002</v>
      </c>
      <c r="M37" s="19"/>
    </row>
    <row r="38" spans="1:17" x14ac:dyDescent="0.25">
      <c r="A38" s="2"/>
      <c r="B38" s="8"/>
      <c r="C38" s="9" t="s">
        <v>21</v>
      </c>
      <c r="D38" s="3">
        <v>45200</v>
      </c>
      <c r="E38">
        <v>40</v>
      </c>
      <c r="F38">
        <v>113.84</v>
      </c>
      <c r="G38" s="9">
        <v>119.32</v>
      </c>
      <c r="H38" s="9">
        <f t="shared" si="6"/>
        <v>5.4799999999999898</v>
      </c>
      <c r="I38" s="9">
        <f t="shared" si="7"/>
        <v>33.730000000000004</v>
      </c>
      <c r="M38" s="19"/>
    </row>
    <row r="39" spans="1:17" x14ac:dyDescent="0.25">
      <c r="A39" s="2"/>
      <c r="B39" s="8"/>
      <c r="C39" s="9" t="s">
        <v>21</v>
      </c>
      <c r="D39" s="3">
        <v>45231</v>
      </c>
      <c r="E39">
        <v>40</v>
      </c>
      <c r="F39">
        <v>75.790000000000006</v>
      </c>
      <c r="G39" s="9">
        <v>80.62</v>
      </c>
      <c r="H39" s="9">
        <f t="shared" si="6"/>
        <v>4.8299999999999983</v>
      </c>
      <c r="I39" s="9">
        <f t="shared" si="7"/>
        <v>-4.3199999999999932</v>
      </c>
      <c r="M39" s="19"/>
    </row>
    <row r="40" spans="1:17" x14ac:dyDescent="0.25">
      <c r="A40" s="2"/>
      <c r="B40" s="8"/>
      <c r="C40" s="9" t="s">
        <v>21</v>
      </c>
      <c r="D40" s="3">
        <v>45261</v>
      </c>
      <c r="E40">
        <v>40</v>
      </c>
      <c r="F40">
        <v>86.37</v>
      </c>
      <c r="G40" s="9">
        <v>91.32</v>
      </c>
      <c r="H40" s="9">
        <f t="shared" si="6"/>
        <v>4.9499999999999886</v>
      </c>
      <c r="I40" s="9">
        <f t="shared" si="7"/>
        <v>6.2600000000000051</v>
      </c>
      <c r="M40" s="19"/>
    </row>
    <row r="41" spans="1:17" x14ac:dyDescent="0.25">
      <c r="A41" s="2"/>
      <c r="B41" s="8"/>
      <c r="C41" s="9" t="s">
        <v>21</v>
      </c>
      <c r="D41" s="3">
        <v>45292</v>
      </c>
      <c r="E41">
        <v>40</v>
      </c>
      <c r="F41">
        <v>142.91999999999999</v>
      </c>
      <c r="G41" s="9">
        <v>149.79</v>
      </c>
      <c r="H41" s="9">
        <f t="shared" si="6"/>
        <v>6.8700000000000045</v>
      </c>
      <c r="I41" s="9">
        <f t="shared" si="7"/>
        <v>62.809999999999988</v>
      </c>
      <c r="K41" s="9" t="s">
        <v>14</v>
      </c>
      <c r="L41" s="9">
        <f>SUM(F33:F44)</f>
        <v>981.57</v>
      </c>
      <c r="M41" s="19"/>
      <c r="N41">
        <f>SUM(G33:G44)</f>
        <v>1043.76</v>
      </c>
    </row>
    <row r="42" spans="1:17" x14ac:dyDescent="0.25">
      <c r="A42" s="2"/>
      <c r="B42" s="8"/>
      <c r="C42" s="9" t="s">
        <v>21</v>
      </c>
      <c r="D42" s="3">
        <v>45323</v>
      </c>
      <c r="E42">
        <v>40</v>
      </c>
      <c r="F42">
        <v>104.62</v>
      </c>
      <c r="G42" s="9">
        <v>110.32</v>
      </c>
      <c r="H42" s="9">
        <f t="shared" si="6"/>
        <v>5.6999999999999886</v>
      </c>
      <c r="I42" s="9">
        <f t="shared" si="7"/>
        <v>24.510000000000005</v>
      </c>
      <c r="K42" s="9" t="s">
        <v>15</v>
      </c>
      <c r="L42" s="12">
        <f>+L41/12</f>
        <v>81.797499999999999</v>
      </c>
      <c r="M42" s="19"/>
      <c r="N42">
        <f>+N41/12</f>
        <v>86.98</v>
      </c>
    </row>
    <row r="43" spans="1:17" x14ac:dyDescent="0.25">
      <c r="A43" s="2"/>
      <c r="B43" s="8"/>
      <c r="C43" s="9" t="s">
        <v>21</v>
      </c>
      <c r="D43" s="3">
        <v>45352</v>
      </c>
      <c r="E43">
        <v>40</v>
      </c>
      <c r="F43">
        <v>121.99</v>
      </c>
      <c r="G43" s="9">
        <v>130.93</v>
      </c>
      <c r="H43" s="9">
        <f t="shared" si="6"/>
        <v>8.9400000000000119</v>
      </c>
      <c r="I43" s="9">
        <f t="shared" si="7"/>
        <v>41.879999999999995</v>
      </c>
      <c r="K43" s="9"/>
      <c r="L43" s="9"/>
      <c r="M43" s="19"/>
    </row>
    <row r="44" spans="1:17" x14ac:dyDescent="0.25">
      <c r="A44" s="2"/>
      <c r="B44" s="8"/>
      <c r="C44" s="9" t="s">
        <v>21</v>
      </c>
      <c r="D44" s="3">
        <v>45383</v>
      </c>
      <c r="E44">
        <v>40</v>
      </c>
      <c r="F44">
        <v>111.59</v>
      </c>
      <c r="G44" s="9">
        <v>120.24</v>
      </c>
      <c r="H44" s="9">
        <f t="shared" si="6"/>
        <v>8.6499999999999915</v>
      </c>
      <c r="I44" s="9">
        <f t="shared" si="7"/>
        <v>31.480000000000004</v>
      </c>
      <c r="K44" s="9" t="s">
        <v>13</v>
      </c>
      <c r="L44" s="9">
        <f>SUM(F45:F56)</f>
        <v>1339.6299999999999</v>
      </c>
      <c r="M44" s="19"/>
      <c r="N44">
        <f>SUM(G45:G56)</f>
        <v>1421.63</v>
      </c>
    </row>
    <row r="45" spans="1:17" x14ac:dyDescent="0.25">
      <c r="A45" s="2"/>
      <c r="B45" s="8"/>
      <c r="C45" s="9" t="s">
        <v>21</v>
      </c>
      <c r="D45" s="3">
        <v>45413</v>
      </c>
      <c r="E45">
        <v>40</v>
      </c>
      <c r="F45">
        <v>132.69999999999999</v>
      </c>
      <c r="G45" s="9">
        <v>138.88</v>
      </c>
      <c r="H45" s="9">
        <f t="shared" si="6"/>
        <v>6.1800000000000068</v>
      </c>
      <c r="I45" s="9">
        <f t="shared" si="7"/>
        <v>52.589999999999989</v>
      </c>
      <c r="K45" s="9" t="s">
        <v>16</v>
      </c>
      <c r="L45" s="12">
        <f>+L44/12</f>
        <v>111.63583333333332</v>
      </c>
      <c r="M45" s="19"/>
      <c r="N45" s="12">
        <f>+N44/12</f>
        <v>118.46916666666668</v>
      </c>
    </row>
    <row r="46" spans="1:17" x14ac:dyDescent="0.25">
      <c r="A46" s="2"/>
      <c r="B46" s="8"/>
      <c r="C46" s="9" t="s">
        <v>21</v>
      </c>
      <c r="D46" s="3">
        <v>45444</v>
      </c>
      <c r="E46">
        <v>80.11</v>
      </c>
      <c r="F46">
        <v>116.62</v>
      </c>
      <c r="G46" s="9">
        <v>125.98</v>
      </c>
      <c r="H46" s="9">
        <f t="shared" si="6"/>
        <v>9.36</v>
      </c>
      <c r="I46" s="9">
        <f t="shared" si="7"/>
        <v>36.510000000000005</v>
      </c>
      <c r="K46" s="9"/>
      <c r="L46" s="9"/>
      <c r="M46" s="19"/>
    </row>
    <row r="47" spans="1:17" x14ac:dyDescent="0.25">
      <c r="A47" s="2"/>
      <c r="B47" s="8"/>
      <c r="C47" s="9" t="s">
        <v>21</v>
      </c>
      <c r="D47" s="3">
        <v>45474</v>
      </c>
      <c r="E47">
        <v>80.11</v>
      </c>
      <c r="F47">
        <v>98.98</v>
      </c>
      <c r="G47" s="9">
        <v>103.24</v>
      </c>
      <c r="H47" s="9">
        <f t="shared" si="6"/>
        <v>4.2599999999999909</v>
      </c>
      <c r="I47" s="9">
        <f t="shared" si="7"/>
        <v>18.870000000000005</v>
      </c>
      <c r="M47" s="19"/>
      <c r="N47" s="20" t="s">
        <v>41</v>
      </c>
      <c r="O47" s="29" t="s">
        <v>30</v>
      </c>
      <c r="P47" s="29" t="s">
        <v>31</v>
      </c>
      <c r="Q47" s="29" t="s">
        <v>32</v>
      </c>
    </row>
    <row r="48" spans="1:17" x14ac:dyDescent="0.25">
      <c r="A48" s="2"/>
      <c r="B48" s="8"/>
      <c r="C48" s="9" t="s">
        <v>21</v>
      </c>
      <c r="D48" s="3">
        <v>45505</v>
      </c>
      <c r="E48">
        <v>80.11</v>
      </c>
      <c r="F48">
        <v>132.62</v>
      </c>
      <c r="G48" s="9">
        <v>144.75</v>
      </c>
      <c r="H48" s="9">
        <f t="shared" si="6"/>
        <v>12.129999999999995</v>
      </c>
      <c r="I48" s="9">
        <f t="shared" si="7"/>
        <v>52.510000000000005</v>
      </c>
      <c r="M48" s="19"/>
      <c r="N48" s="20" t="s">
        <v>33</v>
      </c>
      <c r="O48" s="9">
        <f>SUM(E33:E44)</f>
        <v>440</v>
      </c>
      <c r="P48" s="9">
        <f>SUM(G33:G44)</f>
        <v>1043.76</v>
      </c>
      <c r="Q48" s="9">
        <f>+P48-O48</f>
        <v>603.76</v>
      </c>
    </row>
    <row r="49" spans="1:19" x14ac:dyDescent="0.25">
      <c r="A49" s="2"/>
      <c r="B49" s="8"/>
      <c r="C49" s="9" t="s">
        <v>21</v>
      </c>
      <c r="D49" s="3">
        <v>45536</v>
      </c>
      <c r="E49">
        <v>80.11</v>
      </c>
      <c r="F49">
        <v>131.77000000000001</v>
      </c>
      <c r="G49" s="9">
        <v>137.72</v>
      </c>
      <c r="H49" s="9">
        <f t="shared" si="6"/>
        <v>5.9499999999999886</v>
      </c>
      <c r="I49" s="9">
        <f t="shared" si="7"/>
        <v>51.660000000000011</v>
      </c>
      <c r="M49" s="19"/>
      <c r="N49" s="20" t="s">
        <v>34</v>
      </c>
      <c r="O49" s="9">
        <f>SUM(E45:E56)</f>
        <v>921.21</v>
      </c>
      <c r="P49" s="9">
        <f>SUM(G45:G56)</f>
        <v>1421.63</v>
      </c>
      <c r="Q49" s="9">
        <f t="shared" ref="Q49:Q50" si="8">+P49-O49</f>
        <v>500.42000000000007</v>
      </c>
    </row>
    <row r="50" spans="1:19" x14ac:dyDescent="0.25">
      <c r="A50" s="2"/>
      <c r="B50" s="8"/>
      <c r="C50" s="9" t="s">
        <v>21</v>
      </c>
      <c r="D50" s="3">
        <v>45566</v>
      </c>
      <c r="E50">
        <v>80.11</v>
      </c>
      <c r="F50">
        <v>100.14</v>
      </c>
      <c r="G50" s="9">
        <v>104.25</v>
      </c>
      <c r="H50" s="9">
        <f t="shared" si="6"/>
        <v>4.1099999999999994</v>
      </c>
      <c r="I50" s="9">
        <f t="shared" si="7"/>
        <v>20.03</v>
      </c>
      <c r="M50" s="19"/>
      <c r="N50" s="20" t="s">
        <v>35</v>
      </c>
      <c r="O50" s="9">
        <f>SUM(E57:E59)</f>
        <v>289.04999999999995</v>
      </c>
      <c r="P50" s="9">
        <f>SUM(G57:G59)</f>
        <v>216.79</v>
      </c>
      <c r="Q50" s="9">
        <f t="shared" si="8"/>
        <v>-72.259999999999962</v>
      </c>
    </row>
    <row r="51" spans="1:19" ht="15.75" thickBot="1" x14ac:dyDescent="0.3">
      <c r="A51" s="2"/>
      <c r="B51" s="8"/>
      <c r="C51" s="9" t="s">
        <v>21</v>
      </c>
      <c r="D51" s="3">
        <v>45597</v>
      </c>
      <c r="E51">
        <v>80.11</v>
      </c>
      <c r="F51">
        <v>150.33000000000001</v>
      </c>
      <c r="G51" s="9">
        <v>157.55000000000001</v>
      </c>
      <c r="H51" s="9">
        <f t="shared" si="6"/>
        <v>7.2199999999999989</v>
      </c>
      <c r="I51" s="9">
        <f t="shared" si="7"/>
        <v>70.220000000000013</v>
      </c>
      <c r="M51" s="19"/>
      <c r="N51" s="9"/>
      <c r="O51" s="15">
        <f>SUM(O48:O50)</f>
        <v>1650.26</v>
      </c>
      <c r="P51" s="15">
        <f>SUM(P48:P50)</f>
        <v>2682.1800000000003</v>
      </c>
      <c r="Q51" s="15">
        <f>SUM(Q48:Q50)</f>
        <v>1031.92</v>
      </c>
    </row>
    <row r="52" spans="1:19" ht="15.75" thickTop="1" x14ac:dyDescent="0.25">
      <c r="A52" s="2"/>
      <c r="B52" s="8"/>
      <c r="C52" s="9" t="s">
        <v>21</v>
      </c>
      <c r="D52" s="3">
        <v>45627</v>
      </c>
      <c r="E52">
        <v>80.11</v>
      </c>
      <c r="F52">
        <v>113.41</v>
      </c>
      <c r="G52" s="9">
        <v>123.34</v>
      </c>
      <c r="H52" s="9">
        <f t="shared" si="6"/>
        <v>9.9300000000000068</v>
      </c>
      <c r="I52" s="9">
        <f t="shared" si="7"/>
        <v>33.299999999999997</v>
      </c>
      <c r="M52" s="19"/>
      <c r="N52" s="9"/>
      <c r="O52" s="9"/>
      <c r="P52" s="9"/>
      <c r="Q52" s="9"/>
    </row>
    <row r="53" spans="1:19" x14ac:dyDescent="0.25">
      <c r="A53" s="2"/>
      <c r="B53" s="8"/>
      <c r="C53" s="9" t="s">
        <v>21</v>
      </c>
      <c r="D53" s="3">
        <v>45658</v>
      </c>
      <c r="E53">
        <v>80.11</v>
      </c>
      <c r="F53">
        <v>86.12</v>
      </c>
      <c r="G53" s="9">
        <v>90.76</v>
      </c>
      <c r="H53" s="9">
        <f t="shared" si="6"/>
        <v>4.6400000000000006</v>
      </c>
      <c r="I53" s="9">
        <f t="shared" si="7"/>
        <v>6.0100000000000051</v>
      </c>
      <c r="M53" s="19"/>
      <c r="N53" s="20" t="s">
        <v>40</v>
      </c>
      <c r="O53" s="29" t="s">
        <v>30</v>
      </c>
      <c r="P53" s="29" t="s">
        <v>31</v>
      </c>
      <c r="Q53" s="29" t="s">
        <v>32</v>
      </c>
    </row>
    <row r="54" spans="1:19" x14ac:dyDescent="0.25">
      <c r="A54" s="2"/>
      <c r="B54" s="8"/>
      <c r="C54" s="9" t="s">
        <v>21</v>
      </c>
      <c r="D54" s="3">
        <v>45689</v>
      </c>
      <c r="E54">
        <v>80.11</v>
      </c>
      <c r="F54">
        <v>110</v>
      </c>
      <c r="G54" s="9">
        <v>119.42</v>
      </c>
      <c r="H54" s="9">
        <f t="shared" si="6"/>
        <v>9.4200000000000017</v>
      </c>
      <c r="I54" s="9">
        <f t="shared" si="7"/>
        <v>29.89</v>
      </c>
      <c r="M54" s="19"/>
      <c r="N54" s="20" t="s">
        <v>33</v>
      </c>
      <c r="O54" s="9">
        <f>SUM(E33:E44)</f>
        <v>440</v>
      </c>
      <c r="P54" s="9">
        <f>SUM(F33:F44)</f>
        <v>981.57</v>
      </c>
      <c r="Q54" s="9">
        <f>+P54-O54</f>
        <v>541.57000000000005</v>
      </c>
    </row>
    <row r="55" spans="1:19" x14ac:dyDescent="0.25">
      <c r="A55" s="2"/>
      <c r="B55" s="8"/>
      <c r="C55" s="9" t="s">
        <v>21</v>
      </c>
      <c r="D55" s="3">
        <v>45717</v>
      </c>
      <c r="E55">
        <v>80.11</v>
      </c>
      <c r="F55">
        <v>77.849999999999994</v>
      </c>
      <c r="G55" s="9">
        <v>81.790000000000006</v>
      </c>
      <c r="H55" s="9">
        <f t="shared" si="6"/>
        <v>3.9400000000000119</v>
      </c>
      <c r="I55" s="9">
        <f t="shared" si="7"/>
        <v>-2.2600000000000051</v>
      </c>
      <c r="M55" s="19"/>
      <c r="N55" s="20" t="s">
        <v>34</v>
      </c>
      <c r="O55" s="9">
        <f>SUM(E45:E56)</f>
        <v>921.21</v>
      </c>
      <c r="P55" s="9">
        <f>SUM(F45:F56)</f>
        <v>1339.6299999999999</v>
      </c>
      <c r="Q55" s="9">
        <f t="shared" ref="Q55:Q56" si="9">+P55-O55</f>
        <v>418.41999999999985</v>
      </c>
      <c r="R55" s="7"/>
      <c r="S55" s="7"/>
    </row>
    <row r="56" spans="1:19" x14ac:dyDescent="0.25">
      <c r="A56" s="2"/>
      <c r="B56" s="8"/>
      <c r="C56" s="9" t="s">
        <v>21</v>
      </c>
      <c r="D56" s="3">
        <v>45748</v>
      </c>
      <c r="E56">
        <v>80.11</v>
      </c>
      <c r="F56">
        <v>89.09</v>
      </c>
      <c r="G56" s="9">
        <v>93.95</v>
      </c>
      <c r="H56" s="9">
        <f t="shared" si="6"/>
        <v>4.8599999999999994</v>
      </c>
      <c r="I56" s="9">
        <f t="shared" si="7"/>
        <v>8.980000000000004</v>
      </c>
      <c r="M56" s="19"/>
      <c r="N56" s="20" t="s">
        <v>35</v>
      </c>
      <c r="O56" s="9">
        <f>SUM(E57:E59)</f>
        <v>289.04999999999995</v>
      </c>
      <c r="P56" s="9">
        <f>SUM(F57:F59)</f>
        <v>223.43</v>
      </c>
      <c r="Q56" s="9">
        <f t="shared" si="9"/>
        <v>-65.619999999999948</v>
      </c>
    </row>
    <row r="57" spans="1:19" ht="15.75" thickBot="1" x14ac:dyDescent="0.3">
      <c r="A57" s="2"/>
      <c r="B57" s="8"/>
      <c r="C57" s="9" t="s">
        <v>21</v>
      </c>
      <c r="D57" s="3">
        <v>45778</v>
      </c>
      <c r="E57">
        <v>80.11</v>
      </c>
      <c r="F57">
        <v>86.06</v>
      </c>
      <c r="G57" s="9">
        <v>88.44</v>
      </c>
      <c r="H57" s="9">
        <f t="shared" si="6"/>
        <v>2.3799999999999955</v>
      </c>
      <c r="I57" s="9">
        <f t="shared" si="7"/>
        <v>5.9500000000000028</v>
      </c>
      <c r="M57" s="19"/>
      <c r="O57" s="15">
        <f t="shared" ref="O57:Q57" si="10">SUM(O54:O56)</f>
        <v>1650.26</v>
      </c>
      <c r="P57" s="15">
        <f t="shared" si="10"/>
        <v>2544.6299999999997</v>
      </c>
      <c r="Q57" s="15">
        <f t="shared" si="10"/>
        <v>894.36999999999989</v>
      </c>
    </row>
    <row r="58" spans="1:19" ht="15.75" thickTop="1" x14ac:dyDescent="0.25">
      <c r="A58" s="2"/>
      <c r="B58" s="8"/>
      <c r="C58" s="9" t="s">
        <v>21</v>
      </c>
      <c r="D58" s="3">
        <v>45809</v>
      </c>
      <c r="E58">
        <v>104.47</v>
      </c>
      <c r="F58" s="18">
        <v>121.2</v>
      </c>
      <c r="G58" s="9">
        <v>111.38</v>
      </c>
      <c r="H58" s="9">
        <f t="shared" si="6"/>
        <v>-9.8200000000000074</v>
      </c>
      <c r="I58" s="9">
        <f t="shared" si="7"/>
        <v>41.09</v>
      </c>
      <c r="K58" s="9" t="s">
        <v>19</v>
      </c>
      <c r="L58">
        <f>+E60</f>
        <v>1650.2599999999995</v>
      </c>
      <c r="M58" s="19"/>
    </row>
    <row r="59" spans="1:19" x14ac:dyDescent="0.25">
      <c r="A59" s="2"/>
      <c r="B59" s="8"/>
      <c r="C59" s="9" t="s">
        <v>21</v>
      </c>
      <c r="D59" s="3">
        <v>45839</v>
      </c>
      <c r="E59">
        <v>104.47</v>
      </c>
      <c r="F59" s="18">
        <v>16.170000000000002</v>
      </c>
      <c r="G59" s="9">
        <v>16.97</v>
      </c>
      <c r="H59" s="9">
        <f t="shared" si="6"/>
        <v>0.79999999999999716</v>
      </c>
      <c r="I59" s="9">
        <f t="shared" si="7"/>
        <v>-63.94</v>
      </c>
      <c r="K59" s="9" t="s">
        <v>18</v>
      </c>
      <c r="L59">
        <f>+F60</f>
        <v>2544.6299999999997</v>
      </c>
      <c r="M59" s="19"/>
    </row>
    <row r="60" spans="1:19" s="5" customFormat="1" ht="15.75" thickBot="1" x14ac:dyDescent="0.3">
      <c r="A60" s="4"/>
      <c r="B60" s="8"/>
      <c r="D60" s="3"/>
      <c r="E60" s="5">
        <f>SUM(E33:E59)</f>
        <v>1650.2599999999995</v>
      </c>
      <c r="F60" s="5">
        <f>SUM(F33:F59)</f>
        <v>2544.6299999999997</v>
      </c>
      <c r="G60" s="5">
        <f>SUM(G33:G59)</f>
        <v>2682.18</v>
      </c>
      <c r="H60" s="9">
        <f>SUM(H33:H59)</f>
        <v>137.55000000000001</v>
      </c>
      <c r="I60" s="9">
        <f>+I58+I57+I56+I54+I53+I52+I51+I50+I49+I48+I47+I46+I45+I44+I43+I42+I41+I40+I38+I36</f>
        <v>681.04</v>
      </c>
      <c r="J60" s="9"/>
      <c r="K60" s="13" t="s">
        <v>20</v>
      </c>
      <c r="L60" s="14">
        <f>+L59-L58</f>
        <v>894.37000000000012</v>
      </c>
      <c r="M60" s="19"/>
    </row>
    <row r="61" spans="1:19" ht="15.75" thickTop="1" x14ac:dyDescent="0.25">
      <c r="A61" s="2"/>
      <c r="B61" s="8"/>
      <c r="C61" s="2"/>
      <c r="D61" s="2"/>
      <c r="E61" s="2" t="s">
        <v>6</v>
      </c>
      <c r="F61" s="2" t="s">
        <v>7</v>
      </c>
      <c r="K61" s="13" t="s">
        <v>42</v>
      </c>
      <c r="L61" s="6">
        <f>+L60*150</f>
        <v>134155.50000000003</v>
      </c>
      <c r="M61" s="19"/>
    </row>
    <row r="62" spans="1:19" x14ac:dyDescent="0.25">
      <c r="A62" s="10" t="s">
        <v>8</v>
      </c>
      <c r="B62" s="10"/>
      <c r="C62" s="11"/>
      <c r="D62" s="11"/>
      <c r="E62" s="11"/>
      <c r="F62" s="11"/>
      <c r="I62" s="32">
        <v>20</v>
      </c>
      <c r="J62" s="32"/>
      <c r="M62" s="19"/>
    </row>
    <row r="63" spans="1:19" x14ac:dyDescent="0.25">
      <c r="A63" s="2"/>
      <c r="B63" s="8"/>
      <c r="C63" t="s">
        <v>9</v>
      </c>
      <c r="D63" s="3">
        <v>45047</v>
      </c>
      <c r="E63">
        <v>0</v>
      </c>
      <c r="F63">
        <v>2.75</v>
      </c>
      <c r="G63" s="9">
        <v>3.25</v>
      </c>
      <c r="H63" s="9">
        <f t="shared" ref="H63:H89" si="11">+G63-F63</f>
        <v>0.5</v>
      </c>
      <c r="I63" s="9">
        <f>+G63-$I$62</f>
        <v>-16.75</v>
      </c>
      <c r="M63" s="19"/>
    </row>
    <row r="64" spans="1:19" x14ac:dyDescent="0.25">
      <c r="A64" s="2"/>
      <c r="B64" s="8"/>
      <c r="C64" t="s">
        <v>9</v>
      </c>
      <c r="D64" s="3">
        <v>45078</v>
      </c>
      <c r="E64">
        <v>20</v>
      </c>
      <c r="F64">
        <v>24</v>
      </c>
      <c r="G64" s="9">
        <v>25</v>
      </c>
      <c r="H64" s="9">
        <f t="shared" si="11"/>
        <v>1</v>
      </c>
      <c r="I64" s="9">
        <f t="shared" ref="I64:I89" si="12">+G64-$I$62</f>
        <v>5</v>
      </c>
      <c r="M64" s="19"/>
    </row>
    <row r="65" spans="1:17" x14ac:dyDescent="0.25">
      <c r="A65" s="2"/>
      <c r="B65" s="8"/>
      <c r="C65" t="s">
        <v>9</v>
      </c>
      <c r="D65" s="3">
        <v>45108</v>
      </c>
      <c r="E65">
        <v>20</v>
      </c>
      <c r="F65">
        <v>36.14</v>
      </c>
      <c r="G65" s="9">
        <v>39.14</v>
      </c>
      <c r="H65" s="9">
        <f t="shared" si="11"/>
        <v>3</v>
      </c>
      <c r="I65" s="9">
        <f t="shared" si="12"/>
        <v>19.14</v>
      </c>
      <c r="M65" s="19"/>
    </row>
    <row r="66" spans="1:17" x14ac:dyDescent="0.25">
      <c r="A66" s="2"/>
      <c r="B66" s="8"/>
      <c r="C66" t="s">
        <v>9</v>
      </c>
      <c r="D66" s="3">
        <v>45139</v>
      </c>
      <c r="E66">
        <v>20</v>
      </c>
      <c r="F66">
        <v>35.25</v>
      </c>
      <c r="G66" s="9">
        <v>35.25</v>
      </c>
      <c r="H66" s="9">
        <f t="shared" si="11"/>
        <v>0</v>
      </c>
      <c r="I66" s="9">
        <f t="shared" si="12"/>
        <v>15.25</v>
      </c>
      <c r="M66" s="19"/>
    </row>
    <row r="67" spans="1:17" x14ac:dyDescent="0.25">
      <c r="A67" s="2"/>
      <c r="B67" s="8"/>
      <c r="C67" t="s">
        <v>9</v>
      </c>
      <c r="D67" s="3">
        <v>45170</v>
      </c>
      <c r="E67">
        <v>20</v>
      </c>
      <c r="F67">
        <v>29</v>
      </c>
      <c r="G67" s="9">
        <v>29</v>
      </c>
      <c r="H67" s="9">
        <f t="shared" si="11"/>
        <v>0</v>
      </c>
      <c r="I67" s="9">
        <f t="shared" si="12"/>
        <v>9</v>
      </c>
      <c r="M67" s="19"/>
    </row>
    <row r="68" spans="1:17" x14ac:dyDescent="0.25">
      <c r="A68" s="2"/>
      <c r="B68" s="8"/>
      <c r="C68" t="s">
        <v>9</v>
      </c>
      <c r="D68" s="3">
        <v>45200</v>
      </c>
      <c r="E68">
        <v>20</v>
      </c>
      <c r="F68">
        <v>31.25</v>
      </c>
      <c r="G68" s="9">
        <v>34.5</v>
      </c>
      <c r="H68" s="9">
        <f t="shared" si="11"/>
        <v>3.25</v>
      </c>
      <c r="I68" s="9">
        <f t="shared" si="12"/>
        <v>14.5</v>
      </c>
      <c r="M68" s="19"/>
    </row>
    <row r="69" spans="1:17" x14ac:dyDescent="0.25">
      <c r="A69" s="2"/>
      <c r="B69" s="8"/>
      <c r="C69" t="s">
        <v>9</v>
      </c>
      <c r="D69" s="3">
        <v>45231</v>
      </c>
      <c r="E69">
        <v>20</v>
      </c>
      <c r="F69">
        <v>13.58</v>
      </c>
      <c r="G69" s="9">
        <v>15.58</v>
      </c>
      <c r="H69" s="9">
        <f t="shared" si="11"/>
        <v>2</v>
      </c>
      <c r="I69" s="9">
        <f t="shared" si="12"/>
        <v>-4.42</v>
      </c>
      <c r="M69" s="19"/>
    </row>
    <row r="70" spans="1:17" x14ac:dyDescent="0.25">
      <c r="A70" s="2"/>
      <c r="B70" s="8"/>
      <c r="C70" t="s">
        <v>9</v>
      </c>
      <c r="D70" s="3">
        <v>45261</v>
      </c>
      <c r="E70">
        <v>20</v>
      </c>
      <c r="F70">
        <v>2.25</v>
      </c>
      <c r="G70" s="9">
        <v>2.25</v>
      </c>
      <c r="H70" s="9">
        <f t="shared" si="11"/>
        <v>0</v>
      </c>
      <c r="I70" s="9">
        <f t="shared" si="12"/>
        <v>-17.75</v>
      </c>
      <c r="M70" s="19"/>
    </row>
    <row r="71" spans="1:17" x14ac:dyDescent="0.25">
      <c r="A71" s="2"/>
      <c r="B71" s="8"/>
      <c r="C71" t="s">
        <v>9</v>
      </c>
      <c r="D71" s="3">
        <v>45292</v>
      </c>
      <c r="E71">
        <v>20</v>
      </c>
      <c r="F71">
        <v>9.25</v>
      </c>
      <c r="G71" s="9">
        <v>9.25</v>
      </c>
      <c r="H71" s="9">
        <f t="shared" si="11"/>
        <v>0</v>
      </c>
      <c r="I71" s="9">
        <f t="shared" si="12"/>
        <v>-10.75</v>
      </c>
      <c r="M71" s="19"/>
    </row>
    <row r="72" spans="1:17" x14ac:dyDescent="0.25">
      <c r="A72" s="2"/>
      <c r="B72" s="8"/>
      <c r="C72" t="s">
        <v>9</v>
      </c>
      <c r="D72" s="3">
        <v>45323</v>
      </c>
      <c r="E72">
        <v>20</v>
      </c>
      <c r="F72">
        <v>19.5</v>
      </c>
      <c r="G72" s="9">
        <v>19.5</v>
      </c>
      <c r="H72" s="9">
        <f t="shared" si="11"/>
        <v>0</v>
      </c>
      <c r="I72" s="9">
        <f t="shared" si="12"/>
        <v>-0.5</v>
      </c>
      <c r="M72" s="19"/>
    </row>
    <row r="73" spans="1:17" x14ac:dyDescent="0.25">
      <c r="A73" s="2"/>
      <c r="B73" s="8"/>
      <c r="C73" t="s">
        <v>9</v>
      </c>
      <c r="D73" s="3">
        <v>45352</v>
      </c>
      <c r="E73">
        <v>20</v>
      </c>
      <c r="F73">
        <v>13.08</v>
      </c>
      <c r="G73" s="9">
        <v>18.579999999999998</v>
      </c>
      <c r="H73" s="9">
        <f t="shared" si="11"/>
        <v>5.4999999999999982</v>
      </c>
      <c r="I73" s="9">
        <f t="shared" si="12"/>
        <v>-1.4200000000000017</v>
      </c>
      <c r="M73" s="19"/>
    </row>
    <row r="74" spans="1:17" x14ac:dyDescent="0.25">
      <c r="A74" s="2"/>
      <c r="B74" s="8"/>
      <c r="C74" t="s">
        <v>9</v>
      </c>
      <c r="D74" s="3">
        <v>45383</v>
      </c>
      <c r="E74">
        <v>20</v>
      </c>
      <c r="F74">
        <v>7.42</v>
      </c>
      <c r="G74" s="9">
        <v>7.42</v>
      </c>
      <c r="H74" s="9">
        <f t="shared" si="11"/>
        <v>0</v>
      </c>
      <c r="I74" s="9">
        <f t="shared" si="12"/>
        <v>-12.58</v>
      </c>
      <c r="M74" s="19"/>
    </row>
    <row r="75" spans="1:17" x14ac:dyDescent="0.25">
      <c r="A75" s="2"/>
      <c r="B75" s="8"/>
      <c r="C75" t="s">
        <v>9</v>
      </c>
      <c r="D75" s="3">
        <v>45413</v>
      </c>
      <c r="E75">
        <v>20</v>
      </c>
      <c r="F75">
        <v>19.82</v>
      </c>
      <c r="G75" s="9">
        <v>19.82</v>
      </c>
      <c r="H75" s="9">
        <f t="shared" si="11"/>
        <v>0</v>
      </c>
      <c r="I75" s="9">
        <f t="shared" si="12"/>
        <v>-0.17999999999999972</v>
      </c>
      <c r="M75" s="19"/>
    </row>
    <row r="76" spans="1:17" x14ac:dyDescent="0.25">
      <c r="A76" s="2"/>
      <c r="B76" s="8"/>
      <c r="C76" t="s">
        <v>9</v>
      </c>
      <c r="D76" s="3">
        <v>45444</v>
      </c>
      <c r="E76">
        <v>20</v>
      </c>
      <c r="F76">
        <v>27.12</v>
      </c>
      <c r="G76" s="9">
        <v>27.12</v>
      </c>
      <c r="H76" s="9">
        <f t="shared" si="11"/>
        <v>0</v>
      </c>
      <c r="I76" s="9">
        <f t="shared" si="12"/>
        <v>7.120000000000001</v>
      </c>
      <c r="M76" s="19"/>
      <c r="N76" s="20" t="s">
        <v>41</v>
      </c>
      <c r="O76" s="29" t="s">
        <v>30</v>
      </c>
      <c r="P76" s="29" t="s">
        <v>31</v>
      </c>
      <c r="Q76" s="29" t="s">
        <v>32</v>
      </c>
    </row>
    <row r="77" spans="1:17" x14ac:dyDescent="0.25">
      <c r="A77" s="2"/>
      <c r="B77" s="8"/>
      <c r="C77" t="s">
        <v>9</v>
      </c>
      <c r="D77" s="3">
        <v>45474</v>
      </c>
      <c r="E77">
        <v>20</v>
      </c>
      <c r="F77">
        <v>18.75</v>
      </c>
      <c r="G77" s="9">
        <v>18.75</v>
      </c>
      <c r="H77" s="9">
        <f t="shared" si="11"/>
        <v>0</v>
      </c>
      <c r="I77" s="9">
        <f t="shared" si="12"/>
        <v>-1.25</v>
      </c>
      <c r="M77" s="19"/>
      <c r="N77" s="20" t="s">
        <v>33</v>
      </c>
      <c r="O77" s="9">
        <f>SUM(E63:E74)</f>
        <v>220</v>
      </c>
      <c r="P77" s="9">
        <f>SUM(G63:G74)</f>
        <v>238.72</v>
      </c>
      <c r="Q77" s="9">
        <f>+P77-O77</f>
        <v>18.72</v>
      </c>
    </row>
    <row r="78" spans="1:17" x14ac:dyDescent="0.25">
      <c r="A78" s="2"/>
      <c r="B78" s="8"/>
      <c r="C78" t="s">
        <v>9</v>
      </c>
      <c r="D78" s="3">
        <v>45505</v>
      </c>
      <c r="E78">
        <v>20</v>
      </c>
      <c r="F78">
        <v>27.25</v>
      </c>
      <c r="G78" s="9">
        <v>27.25</v>
      </c>
      <c r="H78" s="9">
        <f t="shared" si="11"/>
        <v>0</v>
      </c>
      <c r="I78" s="9">
        <f t="shared" si="12"/>
        <v>7.25</v>
      </c>
      <c r="M78" s="19"/>
      <c r="N78" s="20" t="s">
        <v>34</v>
      </c>
      <c r="O78" s="9">
        <f>SUM(E75:E86)</f>
        <v>240</v>
      </c>
      <c r="P78" s="9">
        <f>SUM(G75:G86)</f>
        <v>180.18999999999997</v>
      </c>
      <c r="Q78" s="9">
        <f t="shared" ref="Q78:Q79" si="13">+P78-O78</f>
        <v>-59.810000000000031</v>
      </c>
    </row>
    <row r="79" spans="1:17" x14ac:dyDescent="0.25">
      <c r="A79" s="2"/>
      <c r="B79" s="8"/>
      <c r="C79" t="s">
        <v>9</v>
      </c>
      <c r="D79" s="3">
        <v>45536</v>
      </c>
      <c r="E79">
        <v>20</v>
      </c>
      <c r="F79">
        <v>3.75</v>
      </c>
      <c r="G79" s="9">
        <v>3.75</v>
      </c>
      <c r="H79" s="9">
        <f t="shared" si="11"/>
        <v>0</v>
      </c>
      <c r="I79" s="9">
        <f t="shared" si="12"/>
        <v>-16.25</v>
      </c>
      <c r="M79" s="19"/>
      <c r="N79" s="20" t="s">
        <v>35</v>
      </c>
      <c r="O79" s="9">
        <f>SUM(E87:E89)</f>
        <v>60</v>
      </c>
      <c r="P79" s="9">
        <f>SUM(G87:G89)</f>
        <v>37.909999999999997</v>
      </c>
      <c r="Q79" s="9">
        <f t="shared" si="13"/>
        <v>-22.090000000000003</v>
      </c>
    </row>
    <row r="80" spans="1:17" ht="15.75" thickBot="1" x14ac:dyDescent="0.3">
      <c r="A80" s="2"/>
      <c r="B80" s="8"/>
      <c r="C80" t="s">
        <v>9</v>
      </c>
      <c r="D80" s="3">
        <v>45566</v>
      </c>
      <c r="E80">
        <v>20</v>
      </c>
      <c r="F80">
        <v>12.25</v>
      </c>
      <c r="G80" s="9">
        <v>12.25</v>
      </c>
      <c r="H80" s="9">
        <f t="shared" si="11"/>
        <v>0</v>
      </c>
      <c r="I80" s="9">
        <f t="shared" si="12"/>
        <v>-7.75</v>
      </c>
      <c r="M80" s="19"/>
      <c r="N80" s="9"/>
      <c r="O80" s="15">
        <f>SUM(O77:O79)</f>
        <v>520</v>
      </c>
      <c r="P80" s="15">
        <f t="shared" ref="P80:Q80" si="14">SUM(P77:P79)</f>
        <v>456.81999999999994</v>
      </c>
      <c r="Q80" s="15">
        <f t="shared" si="14"/>
        <v>-63.180000000000035</v>
      </c>
    </row>
    <row r="81" spans="1:19" ht="15.75" thickTop="1" x14ac:dyDescent="0.25">
      <c r="A81" s="2"/>
      <c r="B81" s="8"/>
      <c r="C81" t="s">
        <v>9</v>
      </c>
      <c r="D81" s="3">
        <v>45597</v>
      </c>
      <c r="E81">
        <v>20</v>
      </c>
      <c r="F81">
        <v>4.25</v>
      </c>
      <c r="G81" s="9">
        <v>4.25</v>
      </c>
      <c r="H81" s="9">
        <f t="shared" si="11"/>
        <v>0</v>
      </c>
      <c r="I81" s="9">
        <f t="shared" si="12"/>
        <v>-15.75</v>
      </c>
      <c r="M81" s="19"/>
      <c r="N81" s="9"/>
      <c r="O81" s="9"/>
      <c r="P81" s="9"/>
      <c r="Q81" s="9"/>
    </row>
    <row r="82" spans="1:19" x14ac:dyDescent="0.25">
      <c r="A82" s="2"/>
      <c r="B82" s="8"/>
      <c r="C82" t="s">
        <v>9</v>
      </c>
      <c r="D82" s="3">
        <v>45627</v>
      </c>
      <c r="E82">
        <v>20</v>
      </c>
      <c r="F82">
        <v>9.83</v>
      </c>
      <c r="G82" s="9">
        <v>9.83</v>
      </c>
      <c r="H82" s="9">
        <f t="shared" si="11"/>
        <v>0</v>
      </c>
      <c r="I82" s="9">
        <f t="shared" si="12"/>
        <v>-10.17</v>
      </c>
      <c r="M82" s="19"/>
      <c r="N82" s="20" t="s">
        <v>40</v>
      </c>
      <c r="O82" s="29" t="s">
        <v>30</v>
      </c>
      <c r="P82" s="29" t="s">
        <v>31</v>
      </c>
      <c r="Q82" s="29" t="s">
        <v>32</v>
      </c>
    </row>
    <row r="83" spans="1:19" x14ac:dyDescent="0.25">
      <c r="A83" s="2"/>
      <c r="B83" s="8"/>
      <c r="C83" t="s">
        <v>9</v>
      </c>
      <c r="D83" s="3">
        <v>45658</v>
      </c>
      <c r="E83">
        <v>20</v>
      </c>
      <c r="F83">
        <v>5.5</v>
      </c>
      <c r="G83" s="9">
        <v>5.5</v>
      </c>
      <c r="H83" s="9">
        <f t="shared" si="11"/>
        <v>0</v>
      </c>
      <c r="I83" s="9">
        <f t="shared" si="12"/>
        <v>-14.5</v>
      </c>
      <c r="M83" s="19"/>
      <c r="N83" s="20" t="s">
        <v>33</v>
      </c>
      <c r="O83" s="9">
        <f>SUM(E63:E74)</f>
        <v>220</v>
      </c>
      <c r="P83" s="9">
        <f>SUM(F63:F74)</f>
        <v>223.47</v>
      </c>
      <c r="Q83" s="9">
        <f>+P83-O83</f>
        <v>3.4699999999999989</v>
      </c>
    </row>
    <row r="84" spans="1:19" x14ac:dyDescent="0.25">
      <c r="A84" s="2"/>
      <c r="B84" s="8"/>
      <c r="C84" t="s">
        <v>9</v>
      </c>
      <c r="D84" s="3">
        <v>45689</v>
      </c>
      <c r="E84">
        <v>20</v>
      </c>
      <c r="F84">
        <v>5.92</v>
      </c>
      <c r="G84" s="9">
        <v>5.92</v>
      </c>
      <c r="H84" s="9">
        <f t="shared" si="11"/>
        <v>0</v>
      </c>
      <c r="I84" s="9">
        <f t="shared" si="12"/>
        <v>-14.08</v>
      </c>
      <c r="M84" s="19"/>
      <c r="N84" s="20" t="s">
        <v>34</v>
      </c>
      <c r="O84" s="9">
        <f>SUM(E75:E86)</f>
        <v>240</v>
      </c>
      <c r="P84" s="9">
        <f>SUM(F75:F86)</f>
        <v>180.18999999999997</v>
      </c>
      <c r="Q84" s="9">
        <f t="shared" ref="Q84:Q85" si="15">+P84-O84</f>
        <v>-59.810000000000031</v>
      </c>
    </row>
    <row r="85" spans="1:19" x14ac:dyDescent="0.25">
      <c r="A85" s="2"/>
      <c r="B85" s="8"/>
      <c r="C85" t="s">
        <v>9</v>
      </c>
      <c r="D85" s="3">
        <v>45717</v>
      </c>
      <c r="E85">
        <v>20</v>
      </c>
      <c r="F85">
        <v>22.75</v>
      </c>
      <c r="G85" s="9">
        <v>22.75</v>
      </c>
      <c r="H85" s="9">
        <f t="shared" si="11"/>
        <v>0</v>
      </c>
      <c r="I85" s="9">
        <f t="shared" si="12"/>
        <v>2.75</v>
      </c>
      <c r="M85" s="19"/>
      <c r="N85" s="20" t="s">
        <v>35</v>
      </c>
      <c r="O85" s="9">
        <f>SUM(E87:E89)</f>
        <v>60</v>
      </c>
      <c r="P85" s="9">
        <f>SUM(F87:F89)</f>
        <v>40.239999999999995</v>
      </c>
      <c r="Q85" s="9">
        <f t="shared" si="15"/>
        <v>-19.760000000000005</v>
      </c>
      <c r="R85" s="7"/>
      <c r="S85" s="7"/>
    </row>
    <row r="86" spans="1:19" ht="15.75" thickBot="1" x14ac:dyDescent="0.3">
      <c r="A86" s="2"/>
      <c r="B86" s="8"/>
      <c r="C86" t="s">
        <v>9</v>
      </c>
      <c r="D86" s="3">
        <v>45748</v>
      </c>
      <c r="E86">
        <v>20</v>
      </c>
      <c r="F86">
        <v>23</v>
      </c>
      <c r="G86" s="9">
        <v>23</v>
      </c>
      <c r="H86" s="9">
        <f t="shared" si="11"/>
        <v>0</v>
      </c>
      <c r="I86" s="9">
        <f t="shared" si="12"/>
        <v>3</v>
      </c>
      <c r="M86" s="19"/>
      <c r="O86" s="15">
        <f t="shared" ref="O86:Q86" si="16">SUM(O83:O85)</f>
        <v>520</v>
      </c>
      <c r="P86" s="15">
        <f t="shared" si="16"/>
        <v>443.9</v>
      </c>
      <c r="Q86" s="15">
        <f t="shared" si="16"/>
        <v>-76.100000000000037</v>
      </c>
    </row>
    <row r="87" spans="1:19" ht="15.75" thickTop="1" x14ac:dyDescent="0.25">
      <c r="A87" s="2"/>
      <c r="B87" s="8"/>
      <c r="C87" t="s">
        <v>9</v>
      </c>
      <c r="D87" s="3">
        <v>45778</v>
      </c>
      <c r="E87">
        <v>20</v>
      </c>
      <c r="F87">
        <v>9.25</v>
      </c>
      <c r="G87" s="9">
        <v>10.25</v>
      </c>
      <c r="H87" s="9">
        <f t="shared" si="11"/>
        <v>1</v>
      </c>
      <c r="I87" s="9">
        <f t="shared" si="12"/>
        <v>-9.75</v>
      </c>
      <c r="M87" s="19"/>
    </row>
    <row r="88" spans="1:19" x14ac:dyDescent="0.25">
      <c r="A88" s="2"/>
      <c r="B88" s="8"/>
      <c r="C88" t="s">
        <v>9</v>
      </c>
      <c r="D88" s="3">
        <v>45809</v>
      </c>
      <c r="E88">
        <v>20</v>
      </c>
      <c r="F88" s="18">
        <v>28.99</v>
      </c>
      <c r="G88" s="9">
        <v>25.66</v>
      </c>
      <c r="H88" s="9">
        <f t="shared" si="11"/>
        <v>-3.3299999999999983</v>
      </c>
      <c r="I88" s="9">
        <f t="shared" si="12"/>
        <v>5.66</v>
      </c>
      <c r="K88" s="9" t="s">
        <v>19</v>
      </c>
      <c r="L88">
        <f>+E90</f>
        <v>520</v>
      </c>
      <c r="M88" s="19"/>
    </row>
    <row r="89" spans="1:19" x14ac:dyDescent="0.25">
      <c r="A89" s="2"/>
      <c r="B89" s="8"/>
      <c r="C89" t="s">
        <v>9</v>
      </c>
      <c r="D89" s="3">
        <v>45839</v>
      </c>
      <c r="E89">
        <v>20</v>
      </c>
      <c r="F89" s="18">
        <v>2</v>
      </c>
      <c r="G89" s="9">
        <v>2</v>
      </c>
      <c r="H89" s="9">
        <f t="shared" si="11"/>
        <v>0</v>
      </c>
      <c r="I89" s="9">
        <f t="shared" si="12"/>
        <v>-18</v>
      </c>
      <c r="K89" s="9" t="s">
        <v>18</v>
      </c>
      <c r="L89">
        <f>+F90</f>
        <v>443.9</v>
      </c>
      <c r="M89" s="19"/>
    </row>
    <row r="90" spans="1:19" s="5" customFormat="1" ht="15.75" thickBot="1" x14ac:dyDescent="0.3">
      <c r="A90" s="4"/>
      <c r="B90" s="8"/>
      <c r="D90" s="3"/>
      <c r="E90" s="5">
        <f>SUM(E63:E89)</f>
        <v>520</v>
      </c>
      <c r="F90" s="5">
        <f>SUM(F63:F89)</f>
        <v>443.9</v>
      </c>
      <c r="G90" s="5">
        <f>SUM(G63:G89)</f>
        <v>456.82000000000005</v>
      </c>
      <c r="H90" s="9">
        <f>SUM(H63:H89)</f>
        <v>12.920000000000002</v>
      </c>
      <c r="I90" s="9">
        <f>+I88+I86+I85+I78+I76+I68+I67+I66+I65+I64</f>
        <v>88.67</v>
      </c>
      <c r="J90" s="9"/>
      <c r="K90" s="13" t="s">
        <v>20</v>
      </c>
      <c r="L90" s="15">
        <f>+L89-L88</f>
        <v>-76.100000000000023</v>
      </c>
      <c r="M90" s="19"/>
    </row>
    <row r="91" spans="1:19" ht="15.75" thickTop="1" x14ac:dyDescent="0.25">
      <c r="A91" s="2"/>
      <c r="B91" s="8"/>
      <c r="C91" s="2"/>
      <c r="D91" s="2"/>
      <c r="E91" s="2" t="s">
        <v>10</v>
      </c>
      <c r="F91" s="2" t="s">
        <v>11</v>
      </c>
      <c r="K91" s="16" t="s">
        <v>44</v>
      </c>
      <c r="L91" s="6">
        <f>+L90*150</f>
        <v>-11415.000000000004</v>
      </c>
      <c r="M91" s="19"/>
      <c r="S91" s="6"/>
    </row>
    <row r="92" spans="1:19" x14ac:dyDescent="0.25">
      <c r="F92" t="s">
        <v>37</v>
      </c>
      <c r="G92" t="s">
        <v>49</v>
      </c>
      <c r="M92" s="19"/>
    </row>
    <row r="93" spans="1:19" x14ac:dyDescent="0.25">
      <c r="D93" s="23" t="s">
        <v>22</v>
      </c>
      <c r="E93" s="23"/>
      <c r="F93" s="23">
        <f>+L88+L58+L28</f>
        <v>3396.9599999999991</v>
      </c>
      <c r="G93">
        <f>+F93</f>
        <v>3396.9599999999991</v>
      </c>
      <c r="H93" s="17"/>
      <c r="M93" s="19"/>
    </row>
    <row r="94" spans="1:19" x14ac:dyDescent="0.25">
      <c r="D94" s="23" t="s">
        <v>23</v>
      </c>
      <c r="E94" s="23"/>
      <c r="F94" s="23">
        <f>+L89+L59+L29</f>
        <v>4957.17</v>
      </c>
      <c r="G94">
        <f>+G90+G60+G30</f>
        <v>4940.09</v>
      </c>
      <c r="H94" s="17"/>
      <c r="M94" s="19"/>
    </row>
    <row r="95" spans="1:19" x14ac:dyDescent="0.25">
      <c r="D95" s="24" t="s">
        <v>24</v>
      </c>
      <c r="E95" s="23"/>
      <c r="F95" s="23">
        <f>+F94-F93</f>
        <v>1560.2100000000009</v>
      </c>
      <c r="G95">
        <f>+G94-G93</f>
        <v>1543.130000000001</v>
      </c>
      <c r="H95" s="17"/>
      <c r="I95" s="9">
        <f>+I90+I60+I30</f>
        <v>1118.5999999999999</v>
      </c>
      <c r="M95" s="19"/>
    </row>
    <row r="96" spans="1:19" x14ac:dyDescent="0.25">
      <c r="D96" s="25" t="s">
        <v>28</v>
      </c>
      <c r="E96" s="26"/>
      <c r="F96" s="26">
        <v>150</v>
      </c>
      <c r="G96" s="6">
        <v>150</v>
      </c>
      <c r="H96" s="17"/>
      <c r="I96" s="6">
        <v>150</v>
      </c>
      <c r="J96" s="6"/>
      <c r="M96" s="19"/>
    </row>
    <row r="97" spans="4:13" x14ac:dyDescent="0.25">
      <c r="D97" s="24" t="s">
        <v>27</v>
      </c>
      <c r="E97" s="26"/>
      <c r="F97" s="26">
        <f>+F95*F96</f>
        <v>234031.50000000015</v>
      </c>
      <c r="G97" s="26">
        <f>+G95*G96</f>
        <v>231469.50000000015</v>
      </c>
      <c r="H97" s="17">
        <f>+G97-F97</f>
        <v>-2562</v>
      </c>
      <c r="I97" s="6">
        <f>+I95*I96</f>
        <v>167790</v>
      </c>
      <c r="J97" s="6"/>
      <c r="M97" s="19"/>
    </row>
    <row r="98" spans="4:13" x14ac:dyDescent="0.25">
      <c r="D98" s="23" t="s">
        <v>25</v>
      </c>
      <c r="E98" s="26"/>
      <c r="F98" s="26">
        <f>+(F97*0.1)/12</f>
        <v>1950.2625000000014</v>
      </c>
      <c r="G98" s="26">
        <f>+(G97*0.1)/12</f>
        <v>1928.9125000000013</v>
      </c>
      <c r="H98" s="17"/>
      <c r="I98" s="26">
        <f>+(I97*0.1)/12</f>
        <v>1398.25</v>
      </c>
      <c r="J98" s="26"/>
      <c r="M98" s="19"/>
    </row>
    <row r="99" spans="4:13" x14ac:dyDescent="0.25">
      <c r="D99" s="23" t="s">
        <v>26</v>
      </c>
      <c r="E99" s="26"/>
      <c r="F99" s="26">
        <f>+F98*8</f>
        <v>15602.100000000011</v>
      </c>
      <c r="G99" s="26">
        <f>+G98*8</f>
        <v>15431.30000000001</v>
      </c>
      <c r="H99" s="17"/>
      <c r="I99" s="26">
        <f>+I98*8</f>
        <v>11186</v>
      </c>
      <c r="J99" s="26"/>
      <c r="M99" s="19"/>
    </row>
    <row r="100" spans="4:13" x14ac:dyDescent="0.25">
      <c r="D100" s="27" t="s">
        <v>29</v>
      </c>
      <c r="E100" s="28"/>
      <c r="F100" s="28">
        <f>+F97+F99</f>
        <v>249633.60000000015</v>
      </c>
      <c r="G100" s="28">
        <f>+G97+G99</f>
        <v>246900.80000000016</v>
      </c>
      <c r="H100" s="17">
        <f>+G100-F100</f>
        <v>-2732.7999999999884</v>
      </c>
      <c r="I100" s="28">
        <f>+I97+I99</f>
        <v>178976</v>
      </c>
      <c r="J100" s="28"/>
      <c r="M100" s="19"/>
    </row>
    <row r="101" spans="4:13" x14ac:dyDescent="0.25">
      <c r="D101" s="23"/>
      <c r="E101" s="23"/>
      <c r="M101" s="19"/>
    </row>
    <row r="102" spans="4:13" x14ac:dyDescent="0.25">
      <c r="D102" s="33" t="s">
        <v>47</v>
      </c>
    </row>
    <row r="103" spans="4:13" x14ac:dyDescent="0.25">
      <c r="D103" s="23" t="s">
        <v>22</v>
      </c>
      <c r="F103" s="23">
        <f>+E90+E60</f>
        <v>2170.2599999999993</v>
      </c>
      <c r="G103" s="23">
        <f>+E90+E60</f>
        <v>2170.2599999999993</v>
      </c>
    </row>
    <row r="104" spans="4:13" x14ac:dyDescent="0.25">
      <c r="D104" s="23" t="s">
        <v>23</v>
      </c>
      <c r="F104" s="23">
        <f>+F90+F60</f>
        <v>2988.5299999999997</v>
      </c>
      <c r="G104" s="23">
        <f>+G90+G60</f>
        <v>3139</v>
      </c>
    </row>
    <row r="105" spans="4:13" x14ac:dyDescent="0.25">
      <c r="D105" s="24" t="s">
        <v>24</v>
      </c>
      <c r="F105" s="23">
        <f>+F104-F103</f>
        <v>818.27000000000044</v>
      </c>
      <c r="G105" s="23">
        <f>+G104-G103</f>
        <v>968.74000000000069</v>
      </c>
      <c r="I105" s="9">
        <f>+I90+I60</f>
        <v>769.70999999999992</v>
      </c>
    </row>
    <row r="106" spans="4:13" x14ac:dyDescent="0.25">
      <c r="D106" s="25" t="s">
        <v>28</v>
      </c>
      <c r="F106" s="26">
        <v>150</v>
      </c>
      <c r="G106" s="26">
        <v>150</v>
      </c>
      <c r="I106" s="26">
        <v>150</v>
      </c>
    </row>
    <row r="107" spans="4:13" x14ac:dyDescent="0.25">
      <c r="D107" s="24" t="s">
        <v>27</v>
      </c>
      <c r="F107" s="26">
        <f>+F105*F106</f>
        <v>122740.50000000006</v>
      </c>
      <c r="G107" s="26">
        <f>+G105*G106</f>
        <v>145311.00000000012</v>
      </c>
      <c r="I107" s="26">
        <f>+I105*I106</f>
        <v>115456.49999999999</v>
      </c>
    </row>
    <row r="108" spans="4:13" x14ac:dyDescent="0.25">
      <c r="D108" s="23" t="s">
        <v>25</v>
      </c>
      <c r="F108" s="26">
        <f>+(F107*0.1)/12</f>
        <v>1022.8375000000005</v>
      </c>
      <c r="G108" s="26">
        <f>+(G107*0.1)/12</f>
        <v>1210.9250000000011</v>
      </c>
      <c r="I108" s="26">
        <f>+(I107*0.1)/12</f>
        <v>962.13749999999993</v>
      </c>
    </row>
    <row r="109" spans="4:13" x14ac:dyDescent="0.25">
      <c r="D109" s="23" t="s">
        <v>26</v>
      </c>
      <c r="F109" s="26">
        <f>+F108*8</f>
        <v>8182.7000000000044</v>
      </c>
      <c r="G109" s="26">
        <f>+G108*8</f>
        <v>9687.4000000000087</v>
      </c>
      <c r="I109" s="26">
        <f>+I108*8</f>
        <v>7697.0999999999995</v>
      </c>
    </row>
    <row r="110" spans="4:13" x14ac:dyDescent="0.25">
      <c r="D110" s="27" t="s">
        <v>29</v>
      </c>
      <c r="F110" s="28">
        <f>+F107+F109</f>
        <v>130923.20000000007</v>
      </c>
      <c r="G110" s="28">
        <f>+G107+G109</f>
        <v>154998.40000000014</v>
      </c>
      <c r="I110" s="28">
        <f>+I107+I109</f>
        <v>123153.59999999999</v>
      </c>
    </row>
    <row r="112" spans="4:13" x14ac:dyDescent="0.25">
      <c r="D112" s="33" t="s">
        <v>48</v>
      </c>
      <c r="E112" s="9"/>
      <c r="F112" s="9"/>
      <c r="G112" s="9"/>
    </row>
    <row r="113" spans="4:9" x14ac:dyDescent="0.25">
      <c r="D113" s="23" t="s">
        <v>22</v>
      </c>
      <c r="E113" s="9"/>
      <c r="F113" s="23">
        <f>+O84+O49+O18</f>
        <v>1934.9299999999998</v>
      </c>
      <c r="G113" s="23">
        <f>$F$113</f>
        <v>1934.9299999999998</v>
      </c>
    </row>
    <row r="114" spans="4:9" x14ac:dyDescent="0.25">
      <c r="D114" s="23" t="s">
        <v>23</v>
      </c>
      <c r="E114" s="9"/>
      <c r="F114" s="23">
        <f>+P84+P55+P24</f>
        <v>2586.8000000000002</v>
      </c>
      <c r="G114" s="23">
        <f>+P78+P49+P18</f>
        <v>2584.1800000000003</v>
      </c>
    </row>
    <row r="115" spans="4:9" x14ac:dyDescent="0.25">
      <c r="D115" s="24" t="s">
        <v>24</v>
      </c>
      <c r="E115" s="9"/>
      <c r="F115" s="23">
        <f>+F114-F113</f>
        <v>651.87000000000035</v>
      </c>
      <c r="G115" s="23">
        <f>+G114-G113</f>
        <v>649.25000000000045</v>
      </c>
    </row>
    <row r="116" spans="4:9" x14ac:dyDescent="0.25">
      <c r="D116" s="25" t="s">
        <v>28</v>
      </c>
      <c r="E116" s="9"/>
      <c r="F116" s="26">
        <v>150</v>
      </c>
      <c r="G116" s="26">
        <v>150</v>
      </c>
      <c r="I116" s="26"/>
    </row>
    <row r="117" spans="4:9" x14ac:dyDescent="0.25">
      <c r="D117" s="24" t="s">
        <v>27</v>
      </c>
      <c r="E117" s="9"/>
      <c r="F117" s="26">
        <f>+F115*F116</f>
        <v>97780.500000000058</v>
      </c>
      <c r="G117" s="26">
        <f>+G115*G116</f>
        <v>97387.500000000073</v>
      </c>
      <c r="I117" s="26"/>
    </row>
    <row r="118" spans="4:9" x14ac:dyDescent="0.25">
      <c r="D118" s="23" t="s">
        <v>25</v>
      </c>
      <c r="E118" s="9"/>
      <c r="F118" s="26">
        <f>+(F117*0.1)/12</f>
        <v>814.83750000000055</v>
      </c>
      <c r="G118" s="26">
        <f>+(G117*0.1)/12</f>
        <v>811.56250000000057</v>
      </c>
      <c r="I118" s="26"/>
    </row>
    <row r="119" spans="4:9" x14ac:dyDescent="0.25">
      <c r="D119" s="23" t="s">
        <v>26</v>
      </c>
      <c r="E119" s="9"/>
      <c r="F119" s="26">
        <f>+F118*8</f>
        <v>6518.7000000000044</v>
      </c>
      <c r="G119" s="26">
        <f>+G118*8</f>
        <v>6492.5000000000045</v>
      </c>
      <c r="I119" s="26"/>
    </row>
    <row r="120" spans="4:9" x14ac:dyDescent="0.25">
      <c r="D120" s="27" t="s">
        <v>29</v>
      </c>
      <c r="E120" s="9"/>
      <c r="F120" s="28">
        <f>+F117+F119</f>
        <v>104299.20000000007</v>
      </c>
      <c r="G120" s="28">
        <f>+G117+G119</f>
        <v>103880.00000000007</v>
      </c>
      <c r="I120" s="28"/>
    </row>
    <row r="122" spans="4:9" x14ac:dyDescent="0.25">
      <c r="D122" t="s">
        <v>51</v>
      </c>
      <c r="F122">
        <f>(+I2-F28+I32-F57+I32-F58+I62-F88)*(-1)</f>
        <v>56.95</v>
      </c>
      <c r="G122" s="6">
        <f>+F122*150</f>
        <v>8542.5</v>
      </c>
    </row>
  </sheetData>
  <mergeCells count="3">
    <mergeCell ref="A2:F2"/>
    <mergeCell ref="A32:F32"/>
    <mergeCell ref="A62:F62"/>
  </mergeCells>
  <printOptions gridLines="1"/>
  <pageMargins left="0.25" right="0.25" top="0.75" bottom="0.75" header="0.3" footer="0.3"/>
  <pageSetup paperSize="5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Franklin T. Dunn</cp:lastModifiedBy>
  <cp:lastPrinted>2026-04-27T22:50:17Z</cp:lastPrinted>
  <dcterms:created xsi:type="dcterms:W3CDTF">2025-08-14T20:44:09Z</dcterms:created>
  <dcterms:modified xsi:type="dcterms:W3CDTF">2026-04-27T23:44:34Z</dcterms:modified>
</cp:coreProperties>
</file>